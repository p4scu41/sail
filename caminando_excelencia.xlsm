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Default Extension="emf" ContentType="image/x-emf"/>
  <Default Extension="jpeg" ContentType="image/jpeg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20" yWindow="75" windowWidth="12120" windowHeight="7455" tabRatio="602" activeTab="2"/>
  </bookViews>
  <sheets>
    <sheet name="CAPTURA" sheetId="29" r:id="rId1"/>
    <sheet name="CONCENTRADO" sheetId="30" r:id="rId2"/>
    <sheet name="LEPRA" sheetId="9" r:id="rId3"/>
    <sheet name="datos1" sheetId="14" r:id="rId4"/>
    <sheet name="datos2" sheetId="13" r:id="rId5"/>
    <sheet name="datos3" sheetId="24" r:id="rId6"/>
    <sheet name="Portada" sheetId="15" r:id="rId7"/>
    <sheet name="Global" sheetId="16" r:id="rId8"/>
    <sheet name="Desglo2" sheetId="18" r:id="rId9"/>
    <sheet name="Desglo3" sheetId="19" r:id="rId10"/>
    <sheet name="Comparativo" sheetId="20" r:id="rId11"/>
    <sheet name="Vel2" sheetId="22" r:id="rId12"/>
    <sheet name="Vel3" sheetId="23" r:id="rId13"/>
    <sheet name="Contra" sheetId="26" r:id="rId14"/>
  </sheets>
  <definedNames>
    <definedName name="Print_Area" localSheetId="10">Comparativo!$A$1:$R$25</definedName>
    <definedName name="Print_Area" localSheetId="2">LEPRA!$A$1:$AQ$14</definedName>
    <definedName name="Print_Area" localSheetId="6">Portada!$A$1:$I$49</definedName>
  </definedNames>
  <calcPr calcId="125725"/>
</workbook>
</file>

<file path=xl/calcChain.xml><?xml version="1.0" encoding="utf-8"?>
<calcChain xmlns="http://schemas.openxmlformats.org/spreadsheetml/2006/main">
  <c r="N4" i="9"/>
  <c r="AN4" s="1"/>
  <c r="N5"/>
  <c r="AN5" s="1"/>
  <c r="L6"/>
  <c r="AL6" s="1"/>
  <c r="N9"/>
  <c r="AN9" s="1"/>
  <c r="L10"/>
  <c r="AL10" s="1"/>
  <c r="N12"/>
  <c r="AN12" s="1"/>
  <c r="N13"/>
  <c r="AN13" s="1"/>
  <c r="K5"/>
  <c r="AK5" s="1"/>
  <c r="K12"/>
  <c r="AK12" s="1"/>
  <c r="K13"/>
  <c r="F5" i="30"/>
  <c r="G5"/>
  <c r="L5" i="9" s="1"/>
  <c r="H5" i="30"/>
  <c r="M5" i="9" s="1"/>
  <c r="I5" i="30"/>
  <c r="F6"/>
  <c r="K6" i="9" s="1"/>
  <c r="G6" i="30"/>
  <c r="H6"/>
  <c r="M6" i="9" s="1"/>
  <c r="AM6" s="1"/>
  <c r="I6" i="30"/>
  <c r="N6" i="9" s="1"/>
  <c r="F7" i="30"/>
  <c r="K7" i="9" s="1"/>
  <c r="AK7" s="1"/>
  <c r="G7" i="30"/>
  <c r="L7" i="9" s="1"/>
  <c r="AL7" s="1"/>
  <c r="H7" i="30"/>
  <c r="M7" i="9" s="1"/>
  <c r="I7" i="30"/>
  <c r="N7" i="9" s="1"/>
  <c r="F8" i="30"/>
  <c r="K8" i="9" s="1"/>
  <c r="AK8" s="1"/>
  <c r="G8" i="30"/>
  <c r="L8" i="9" s="1"/>
  <c r="H8" i="30"/>
  <c r="M8" i="9" s="1"/>
  <c r="AM8" s="1"/>
  <c r="I8" i="30"/>
  <c r="N8" i="9" s="1"/>
  <c r="F9" i="30"/>
  <c r="K9" i="9" s="1"/>
  <c r="AK9" s="1"/>
  <c r="G9" i="30"/>
  <c r="L9" i="9" s="1"/>
  <c r="AL9" s="1"/>
  <c r="H9" i="30"/>
  <c r="M9" i="9" s="1"/>
  <c r="I9" i="30"/>
  <c r="F10"/>
  <c r="K10" i="9" s="1"/>
  <c r="G10" i="30"/>
  <c r="H10"/>
  <c r="M10" i="9" s="1"/>
  <c r="AM10" s="1"/>
  <c r="I10" i="30"/>
  <c r="N10" i="9" s="1"/>
  <c r="F11" i="30"/>
  <c r="K11" i="9" s="1"/>
  <c r="AK11" s="1"/>
  <c r="G11" i="30"/>
  <c r="L11" i="9" s="1"/>
  <c r="AL11" s="1"/>
  <c r="H11" i="30"/>
  <c r="M11" i="9" s="1"/>
  <c r="I11" i="30"/>
  <c r="N11" i="9" s="1"/>
  <c r="F12" i="30"/>
  <c r="G12"/>
  <c r="L12" i="9" s="1"/>
  <c r="H12" i="30"/>
  <c r="M12" i="9" s="1"/>
  <c r="AM12" s="1"/>
  <c r="I12" i="30"/>
  <c r="F13"/>
  <c r="G13"/>
  <c r="L13" i="9" s="1"/>
  <c r="AL13" s="1"/>
  <c r="H13" i="30"/>
  <c r="M13" i="9" s="1"/>
  <c r="I13" i="30"/>
  <c r="F14"/>
  <c r="G14"/>
  <c r="H14"/>
  <c r="I14"/>
  <c r="I4"/>
  <c r="H4"/>
  <c r="M4" i="9" s="1"/>
  <c r="G4" i="30"/>
  <c r="L4" i="9" s="1"/>
  <c r="F4" i="30"/>
  <c r="K4" i="9" s="1"/>
  <c r="C5" i="30"/>
  <c r="D5" i="9" s="1"/>
  <c r="AG5" s="1"/>
  <c r="D5" i="30"/>
  <c r="E5" i="9" s="1"/>
  <c r="AH5" s="1"/>
  <c r="E5" i="30"/>
  <c r="F5" i="9" s="1"/>
  <c r="C6" i="30"/>
  <c r="D6" i="9" s="1"/>
  <c r="AG6" s="1"/>
  <c r="D6" i="30"/>
  <c r="E6" i="9" s="1"/>
  <c r="E6" i="30"/>
  <c r="F6" i="9" s="1"/>
  <c r="AI6" s="1"/>
  <c r="C7" i="30"/>
  <c r="D7" i="9" s="1"/>
  <c r="D7" i="30"/>
  <c r="E7" i="9" s="1"/>
  <c r="AH7" s="1"/>
  <c r="E7" i="30"/>
  <c r="F7" i="9" s="1"/>
  <c r="AI7" s="1"/>
  <c r="C8" i="30"/>
  <c r="D8" i="9" s="1"/>
  <c r="AG8" s="1"/>
  <c r="D8" i="30"/>
  <c r="E8" i="9" s="1"/>
  <c r="E8" i="30"/>
  <c r="F8" i="9" s="1"/>
  <c r="AI8" s="1"/>
  <c r="C9" i="30"/>
  <c r="D9" i="9" s="1"/>
  <c r="AG9" s="1"/>
  <c r="D9" i="30"/>
  <c r="E9" i="9" s="1"/>
  <c r="AH9" s="1"/>
  <c r="E9" i="30"/>
  <c r="F9" i="9" s="1"/>
  <c r="C10" i="30"/>
  <c r="D10" i="9" s="1"/>
  <c r="AG10" s="1"/>
  <c r="D10" i="30"/>
  <c r="E10" i="9" s="1"/>
  <c r="E10" i="30"/>
  <c r="F10" i="9" s="1"/>
  <c r="AI10" s="1"/>
  <c r="C11" i="30"/>
  <c r="D11" i="9" s="1"/>
  <c r="AG11" s="1"/>
  <c r="D11" i="30"/>
  <c r="E11" i="9" s="1"/>
  <c r="AH11" s="1"/>
  <c r="E11" i="30"/>
  <c r="F11" i="9" s="1"/>
  <c r="AI11" s="1"/>
  <c r="C12" i="30"/>
  <c r="D12" i="9" s="1"/>
  <c r="AG12" s="1"/>
  <c r="D12" i="30"/>
  <c r="E12" i="9" s="1"/>
  <c r="E12" i="30"/>
  <c r="F12" i="9" s="1"/>
  <c r="AI12" s="1"/>
  <c r="C13" i="30"/>
  <c r="D13" i="9" s="1"/>
  <c r="AG13" s="1"/>
  <c r="D13" i="30"/>
  <c r="E13" i="9" s="1"/>
  <c r="AH13" s="1"/>
  <c r="E13" i="30"/>
  <c r="F13" i="9" s="1"/>
  <c r="AI13" s="1"/>
  <c r="C14" i="30"/>
  <c r="D14"/>
  <c r="E14"/>
  <c r="E4"/>
  <c r="F4" i="9" s="1"/>
  <c r="D4" i="30"/>
  <c r="E4" i="9" s="1"/>
  <c r="AH4" s="1"/>
  <c r="C4" i="30"/>
  <c r="D4" i="9" s="1"/>
  <c r="B5" i="30"/>
  <c r="C5" i="9" s="1"/>
  <c r="AF5" s="1"/>
  <c r="B6" i="30"/>
  <c r="C6" i="9" s="1"/>
  <c r="AF6" s="1"/>
  <c r="B7" i="30"/>
  <c r="C7" i="9" s="1"/>
  <c r="B8" i="30"/>
  <c r="C8" i="9" s="1"/>
  <c r="B9" i="30"/>
  <c r="C9" i="9" s="1"/>
  <c r="B10" i="30"/>
  <c r="C10" i="9" s="1"/>
  <c r="AF10" s="1"/>
  <c r="B11" i="30"/>
  <c r="C11" i="9" s="1"/>
  <c r="B12" i="30"/>
  <c r="C12" i="9" s="1"/>
  <c r="R12" s="1"/>
  <c r="B13" i="30"/>
  <c r="C13" i="9" s="1"/>
  <c r="AF13" s="1"/>
  <c r="B14" i="30"/>
  <c r="B4"/>
  <c r="C4" i="9" s="1"/>
  <c r="AF4" s="1"/>
  <c r="H9" i="16"/>
  <c r="H10"/>
  <c r="H11"/>
  <c r="H12"/>
  <c r="H13"/>
  <c r="H14"/>
  <c r="H15"/>
  <c r="H16"/>
  <c r="H17"/>
  <c r="H18"/>
  <c r="H8"/>
  <c r="H38" i="15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E28"/>
  <c r="F28"/>
  <c r="G28"/>
  <c r="E29"/>
  <c r="F29"/>
  <c r="G29"/>
  <c r="E30"/>
  <c r="F30"/>
  <c r="G30"/>
  <c r="E31"/>
  <c r="F31"/>
  <c r="G31"/>
  <c r="E32"/>
  <c r="F32"/>
  <c r="G32"/>
  <c r="E33"/>
  <c r="F33"/>
  <c r="G33"/>
  <c r="E34"/>
  <c r="F34"/>
  <c r="G34"/>
  <c r="E35"/>
  <c r="F35"/>
  <c r="G35"/>
  <c r="E36"/>
  <c r="F36"/>
  <c r="G36"/>
  <c r="E37"/>
  <c r="F37"/>
  <c r="G37"/>
  <c r="E38"/>
  <c r="F38"/>
  <c r="G38"/>
  <c r="D28"/>
  <c r="D29"/>
  <c r="D30"/>
  <c r="D31"/>
  <c r="D32"/>
  <c r="D33"/>
  <c r="D34"/>
  <c r="D35"/>
  <c r="D36"/>
  <c r="D37"/>
  <c r="D38"/>
  <c r="C38"/>
  <c r="C37"/>
  <c r="C36"/>
  <c r="C35"/>
  <c r="C34"/>
  <c r="C33"/>
  <c r="C32"/>
  <c r="C31"/>
  <c r="C30"/>
  <c r="C29"/>
  <c r="C28"/>
  <c r="AK13" i="9"/>
  <c r="A41" i="23"/>
  <c r="H33"/>
  <c r="H34"/>
  <c r="H35"/>
  <c r="H36"/>
  <c r="H37"/>
  <c r="H38"/>
  <c r="H39"/>
  <c r="H40"/>
  <c r="H41"/>
  <c r="H42"/>
  <c r="H32"/>
  <c r="H12"/>
  <c r="H13"/>
  <c r="H14"/>
  <c r="H15"/>
  <c r="H16"/>
  <c r="H17"/>
  <c r="H18"/>
  <c r="H19"/>
  <c r="H20"/>
  <c r="H21"/>
  <c r="H11"/>
  <c r="A41" i="22"/>
  <c r="H33"/>
  <c r="H34"/>
  <c r="H35"/>
  <c r="H36"/>
  <c r="H37"/>
  <c r="H38"/>
  <c r="H39"/>
  <c r="H40"/>
  <c r="H41"/>
  <c r="H42"/>
  <c r="H32"/>
  <c r="H12"/>
  <c r="H13"/>
  <c r="H14"/>
  <c r="H15"/>
  <c r="H16"/>
  <c r="H17"/>
  <c r="H18"/>
  <c r="H19"/>
  <c r="H20"/>
  <c r="H21"/>
  <c r="H11"/>
  <c r="C11" i="20"/>
  <c r="B11"/>
  <c r="H31" i="19"/>
  <c r="H32"/>
  <c r="H33"/>
  <c r="H34"/>
  <c r="H35"/>
  <c r="H36"/>
  <c r="H37"/>
  <c r="H38"/>
  <c r="H39"/>
  <c r="H40"/>
  <c r="H30"/>
  <c r="H8"/>
  <c r="H9"/>
  <c r="H10"/>
  <c r="H11"/>
  <c r="H12"/>
  <c r="H13"/>
  <c r="H14"/>
  <c r="H15"/>
  <c r="H16"/>
  <c r="H17"/>
  <c r="H7"/>
  <c r="H31" i="18"/>
  <c r="H32"/>
  <c r="H33"/>
  <c r="H34"/>
  <c r="H35"/>
  <c r="H36"/>
  <c r="H37"/>
  <c r="H38"/>
  <c r="H39"/>
  <c r="H40"/>
  <c r="H30"/>
  <c r="H8"/>
  <c r="H9"/>
  <c r="H10"/>
  <c r="H11"/>
  <c r="H12"/>
  <c r="H13"/>
  <c r="H14"/>
  <c r="H15"/>
  <c r="H16"/>
  <c r="H17"/>
  <c r="H7"/>
  <c r="D18" i="9"/>
  <c r="C18"/>
  <c r="O15"/>
  <c r="G15"/>
  <c r="N11" i="20"/>
  <c r="O11"/>
  <c r="P11"/>
  <c r="Q11"/>
  <c r="R11"/>
  <c r="N12"/>
  <c r="O12"/>
  <c r="P12"/>
  <c r="Q12"/>
  <c r="R12"/>
  <c r="N13"/>
  <c r="O13"/>
  <c r="P13"/>
  <c r="Q13"/>
  <c r="R13"/>
  <c r="N14"/>
  <c r="O14"/>
  <c r="P14"/>
  <c r="Q14"/>
  <c r="R14"/>
  <c r="N15"/>
  <c r="O15"/>
  <c r="P15"/>
  <c r="Q15"/>
  <c r="R15"/>
  <c r="N16"/>
  <c r="O16"/>
  <c r="P16"/>
  <c r="Q16"/>
  <c r="R16"/>
  <c r="N17"/>
  <c r="O17"/>
  <c r="P17"/>
  <c r="Q17"/>
  <c r="R17"/>
  <c r="N18"/>
  <c r="O18"/>
  <c r="P18"/>
  <c r="Q18"/>
  <c r="R18"/>
  <c r="N19"/>
  <c r="O19"/>
  <c r="P19"/>
  <c r="Q19"/>
  <c r="R19"/>
  <c r="N20"/>
  <c r="O20"/>
  <c r="P20"/>
  <c r="Q20"/>
  <c r="R20"/>
  <c r="N21"/>
  <c r="O21"/>
  <c r="P21"/>
  <c r="Q21"/>
  <c r="R21"/>
  <c r="L11"/>
  <c r="C10"/>
  <c r="P9" s="1"/>
  <c r="C12"/>
  <c r="C13"/>
  <c r="C14"/>
  <c r="C15"/>
  <c r="C16"/>
  <c r="C17"/>
  <c r="C18"/>
  <c r="C19"/>
  <c r="C20"/>
  <c r="C21"/>
  <c r="B12"/>
  <c r="B13"/>
  <c r="B14"/>
  <c r="B15"/>
  <c r="B16"/>
  <c r="B17"/>
  <c r="B18"/>
  <c r="B19"/>
  <c r="B20"/>
  <c r="B21"/>
  <c r="B10"/>
  <c r="R9" s="1"/>
  <c r="A12"/>
  <c r="K12" s="1"/>
  <c r="A13"/>
  <c r="K13" s="1"/>
  <c r="A14"/>
  <c r="K14" s="1"/>
  <c r="A15"/>
  <c r="K15" s="1"/>
  <c r="A16"/>
  <c r="K16" s="1"/>
  <c r="A17"/>
  <c r="K17" s="1"/>
  <c r="A18"/>
  <c r="K18" s="1"/>
  <c r="A19"/>
  <c r="K19" s="1"/>
  <c r="A20"/>
  <c r="K20" s="1"/>
  <c r="A21"/>
  <c r="K21" s="1"/>
  <c r="A11"/>
  <c r="K11" s="1"/>
  <c r="A10"/>
  <c r="A42" i="23"/>
  <c r="A40"/>
  <c r="A39"/>
  <c r="A38"/>
  <c r="A37"/>
  <c r="A36"/>
  <c r="A35"/>
  <c r="A34"/>
  <c r="A33"/>
  <c r="A32"/>
  <c r="A21"/>
  <c r="A20"/>
  <c r="A19"/>
  <c r="A18"/>
  <c r="A17"/>
  <c r="A16"/>
  <c r="A15"/>
  <c r="A14"/>
  <c r="A13"/>
  <c r="A12"/>
  <c r="A11"/>
  <c r="A42" i="22"/>
  <c r="A40"/>
  <c r="A39"/>
  <c r="A38"/>
  <c r="A37"/>
  <c r="A36"/>
  <c r="A35"/>
  <c r="A34"/>
  <c r="A33"/>
  <c r="A32"/>
  <c r="A21"/>
  <c r="A20"/>
  <c r="A19"/>
  <c r="A18"/>
  <c r="A17"/>
  <c r="A16"/>
  <c r="A15"/>
  <c r="A14"/>
  <c r="A13"/>
  <c r="A12"/>
  <c r="A11"/>
  <c r="L12" i="20"/>
  <c r="L13"/>
  <c r="L14"/>
  <c r="L15"/>
  <c r="L16"/>
  <c r="L17"/>
  <c r="L18"/>
  <c r="L19"/>
  <c r="L20"/>
  <c r="L21"/>
  <c r="B29" i="15"/>
  <c r="B30"/>
  <c r="B31"/>
  <c r="B32"/>
  <c r="B33"/>
  <c r="B34"/>
  <c r="B35"/>
  <c r="B36"/>
  <c r="B37"/>
  <c r="B38"/>
  <c r="B28"/>
  <c r="M18" i="9"/>
  <c r="I18"/>
  <c r="H18"/>
  <c r="N18"/>
  <c r="L18"/>
  <c r="K18"/>
  <c r="J18"/>
  <c r="G18"/>
  <c r="F18"/>
  <c r="E18"/>
  <c r="A29"/>
  <c r="A20"/>
  <c r="A21"/>
  <c r="A22"/>
  <c r="A23"/>
  <c r="A24"/>
  <c r="A25"/>
  <c r="A26"/>
  <c r="A27"/>
  <c r="A28"/>
  <c r="A19"/>
  <c r="A18"/>
  <c r="L14" l="1"/>
  <c r="AL14" s="1"/>
  <c r="R13"/>
  <c r="Y13" s="1"/>
  <c r="K28" s="1"/>
  <c r="R10"/>
  <c r="Y10" s="1"/>
  <c r="K25" s="1"/>
  <c r="AF9"/>
  <c r="G9" s="1"/>
  <c r="H9" s="1"/>
  <c r="R9"/>
  <c r="Y9" s="1"/>
  <c r="K24" s="1"/>
  <c r="R8"/>
  <c r="Y8" s="1"/>
  <c r="K23" s="1"/>
  <c r="U8"/>
  <c r="AB8" s="1"/>
  <c r="N23" s="1"/>
  <c r="S6"/>
  <c r="Z6" s="1"/>
  <c r="L21" s="1"/>
  <c r="R6"/>
  <c r="Y6" s="1"/>
  <c r="K21" s="1"/>
  <c r="T4"/>
  <c r="H19" s="1"/>
  <c r="M14"/>
  <c r="AM14" s="1"/>
  <c r="AG4"/>
  <c r="G4" s="1"/>
  <c r="H4" s="1"/>
  <c r="D14"/>
  <c r="AG14" s="1"/>
  <c r="T10"/>
  <c r="AA10" s="1"/>
  <c r="M25" s="1"/>
  <c r="AH10"/>
  <c r="T6"/>
  <c r="H21" s="1"/>
  <c r="AH6"/>
  <c r="F14"/>
  <c r="AI14" s="1"/>
  <c r="AI4"/>
  <c r="T12"/>
  <c r="AA12" s="1"/>
  <c r="M27" s="1"/>
  <c r="AH12"/>
  <c r="AI9"/>
  <c r="U9"/>
  <c r="AB9" s="1"/>
  <c r="N24" s="1"/>
  <c r="T8"/>
  <c r="H23" s="1"/>
  <c r="AH8"/>
  <c r="S7"/>
  <c r="Z7" s="1"/>
  <c r="L22" s="1"/>
  <c r="AI5"/>
  <c r="U5"/>
  <c r="AB5" s="1"/>
  <c r="N20" s="1"/>
  <c r="AL4"/>
  <c r="S4"/>
  <c r="Z4" s="1"/>
  <c r="L19" s="1"/>
  <c r="AM13"/>
  <c r="T13"/>
  <c r="AA13" s="1"/>
  <c r="M28" s="1"/>
  <c r="T11"/>
  <c r="AA11" s="1"/>
  <c r="M26" s="1"/>
  <c r="AM11"/>
  <c r="AM9"/>
  <c r="T9"/>
  <c r="AA9" s="1"/>
  <c r="M24" s="1"/>
  <c r="AM7"/>
  <c r="T7"/>
  <c r="AA7" s="1"/>
  <c r="M22" s="1"/>
  <c r="T5"/>
  <c r="AM5"/>
  <c r="AL12"/>
  <c r="S12"/>
  <c r="Z12" s="1"/>
  <c r="L27" s="1"/>
  <c r="S8"/>
  <c r="G23" s="1"/>
  <c r="AL8"/>
  <c r="R11"/>
  <c r="Y11" s="1"/>
  <c r="K26" s="1"/>
  <c r="AF11"/>
  <c r="R7"/>
  <c r="F22" s="1"/>
  <c r="AF7"/>
  <c r="AK4"/>
  <c r="O4" s="1"/>
  <c r="P4" s="1"/>
  <c r="D19" s="1"/>
  <c r="R4"/>
  <c r="Y4" s="1"/>
  <c r="K19" s="1"/>
  <c r="K14"/>
  <c r="AK14" s="1"/>
  <c r="U11"/>
  <c r="AB11" s="1"/>
  <c r="N26" s="1"/>
  <c r="AN10"/>
  <c r="U10"/>
  <c r="AB10" s="1"/>
  <c r="N25" s="1"/>
  <c r="U7"/>
  <c r="AB7" s="1"/>
  <c r="N22" s="1"/>
  <c r="AN7"/>
  <c r="AN6"/>
  <c r="U6"/>
  <c r="AB6" s="1"/>
  <c r="N21" s="1"/>
  <c r="U4"/>
  <c r="AB4" s="1"/>
  <c r="N19" s="1"/>
  <c r="R5"/>
  <c r="Y5" s="1"/>
  <c r="K20" s="1"/>
  <c r="U12"/>
  <c r="U13"/>
  <c r="AB13" s="1"/>
  <c r="N28" s="1"/>
  <c r="AN8"/>
  <c r="S10"/>
  <c r="G25" s="1"/>
  <c r="AF12"/>
  <c r="G12" s="1"/>
  <c r="AF8"/>
  <c r="O13"/>
  <c r="P13" s="1"/>
  <c r="D28" s="1"/>
  <c r="S13"/>
  <c r="S9"/>
  <c r="Z9" s="1"/>
  <c r="L24" s="1"/>
  <c r="N14"/>
  <c r="AN14" s="1"/>
  <c r="AM4"/>
  <c r="AN11"/>
  <c r="AL5"/>
  <c r="O5" s="1"/>
  <c r="P5" s="1"/>
  <c r="D20" s="1"/>
  <c r="S11"/>
  <c r="Z11" s="1"/>
  <c r="O9"/>
  <c r="P9" s="1"/>
  <c r="D24" s="1"/>
  <c r="AK10"/>
  <c r="O10" s="1"/>
  <c r="P10" s="1"/>
  <c r="D25" s="1"/>
  <c r="AK6"/>
  <c r="O12"/>
  <c r="P12" s="1"/>
  <c r="D27" s="1"/>
  <c r="O11"/>
  <c r="P11" s="1"/>
  <c r="W11" s="1"/>
  <c r="E26" s="1"/>
  <c r="O8"/>
  <c r="P8" s="1"/>
  <c r="D23" s="1"/>
  <c r="O7"/>
  <c r="P7" s="1"/>
  <c r="D22" s="1"/>
  <c r="H27"/>
  <c r="S5"/>
  <c r="Z5" s="1"/>
  <c r="L20" s="1"/>
  <c r="E14"/>
  <c r="AH14" s="1"/>
  <c r="AG7"/>
  <c r="G7" s="1"/>
  <c r="H7" s="1"/>
  <c r="G11"/>
  <c r="H11" s="1"/>
  <c r="C26" s="1"/>
  <c r="V12"/>
  <c r="Y7"/>
  <c r="K22" s="1"/>
  <c r="C14"/>
  <c r="F27"/>
  <c r="Y12"/>
  <c r="K27" s="1"/>
  <c r="Z10"/>
  <c r="L25" s="1"/>
  <c r="H12"/>
  <c r="C27" s="1"/>
  <c r="G13"/>
  <c r="H13" s="1"/>
  <c r="G10"/>
  <c r="H10" s="1"/>
  <c r="C25" s="1"/>
  <c r="G6"/>
  <c r="H6" s="1"/>
  <c r="C21" s="1"/>
  <c r="G5"/>
  <c r="H5" s="1"/>
  <c r="G22" l="1"/>
  <c r="AC4"/>
  <c r="J19" s="1"/>
  <c r="AA6"/>
  <c r="M21" s="1"/>
  <c r="G19"/>
  <c r="G20"/>
  <c r="H25"/>
  <c r="F28"/>
  <c r="V13"/>
  <c r="G27"/>
  <c r="D26"/>
  <c r="I26"/>
  <c r="H26"/>
  <c r="AD11"/>
  <c r="F26"/>
  <c r="AC11"/>
  <c r="J26" s="1"/>
  <c r="I25"/>
  <c r="V10"/>
  <c r="F25"/>
  <c r="AC9"/>
  <c r="J24" s="1"/>
  <c r="V9"/>
  <c r="F24"/>
  <c r="V8"/>
  <c r="F23"/>
  <c r="I23"/>
  <c r="I22"/>
  <c r="V7"/>
  <c r="O6"/>
  <c r="P6" s="1"/>
  <c r="D21" s="1"/>
  <c r="I21"/>
  <c r="G21"/>
  <c r="V6"/>
  <c r="F21"/>
  <c r="AC6"/>
  <c r="J21" s="1"/>
  <c r="AC5"/>
  <c r="J20" s="1"/>
  <c r="F20"/>
  <c r="V5"/>
  <c r="AD4"/>
  <c r="AA4"/>
  <c r="M19" s="1"/>
  <c r="S14"/>
  <c r="Z14" s="1"/>
  <c r="W4"/>
  <c r="E19" s="1"/>
  <c r="C19"/>
  <c r="F19"/>
  <c r="V4"/>
  <c r="AA5"/>
  <c r="M20" s="1"/>
  <c r="H20"/>
  <c r="AC7"/>
  <c r="J22" s="1"/>
  <c r="I20"/>
  <c r="I28"/>
  <c r="H24"/>
  <c r="Z8"/>
  <c r="L23" s="1"/>
  <c r="AA8"/>
  <c r="M23" s="1"/>
  <c r="O14"/>
  <c r="P14" s="1"/>
  <c r="D29" s="1"/>
  <c r="H22"/>
  <c r="G8"/>
  <c r="H8" s="1"/>
  <c r="C23" s="1"/>
  <c r="G24"/>
  <c r="I24"/>
  <c r="H28"/>
  <c r="I19"/>
  <c r="AB12"/>
  <c r="N27" s="1"/>
  <c r="I27"/>
  <c r="L26"/>
  <c r="Z13"/>
  <c r="G28"/>
  <c r="AC8"/>
  <c r="J23" s="1"/>
  <c r="G26"/>
  <c r="V11"/>
  <c r="U14"/>
  <c r="I29" s="1"/>
  <c r="C22"/>
  <c r="AD7"/>
  <c r="W7"/>
  <c r="E22" s="1"/>
  <c r="T14"/>
  <c r="AD10"/>
  <c r="AF14"/>
  <c r="G14" s="1"/>
  <c r="H14" s="1"/>
  <c r="R14"/>
  <c r="W10"/>
  <c r="E25" s="1"/>
  <c r="AC12"/>
  <c r="J27" s="1"/>
  <c r="C20"/>
  <c r="W5"/>
  <c r="E20" s="1"/>
  <c r="AD5"/>
  <c r="AD13"/>
  <c r="C28"/>
  <c r="AD12"/>
  <c r="AC10"/>
  <c r="J25" s="1"/>
  <c r="W12"/>
  <c r="E27" s="1"/>
  <c r="AD9"/>
  <c r="C24"/>
  <c r="W9"/>
  <c r="E24" s="1"/>
  <c r="W13"/>
  <c r="E28" s="1"/>
  <c r="AD8" l="1"/>
  <c r="W8"/>
  <c r="E23" s="1"/>
  <c r="AD6"/>
  <c r="W6"/>
  <c r="E21" s="1"/>
  <c r="W14"/>
  <c r="E29" s="1"/>
  <c r="AB14"/>
  <c r="N29" s="1"/>
  <c r="G29"/>
  <c r="AD14"/>
  <c r="L28"/>
  <c r="AC13"/>
  <c r="J28" s="1"/>
  <c r="C29"/>
  <c r="AA14"/>
  <c r="M29" s="1"/>
  <c r="H29"/>
  <c r="Y14"/>
  <c r="K29" s="1"/>
  <c r="F29"/>
  <c r="V14"/>
  <c r="L29"/>
  <c r="AC14" l="1"/>
  <c r="J29" s="1"/>
</calcChain>
</file>

<file path=xl/sharedStrings.xml><?xml version="1.0" encoding="utf-8"?>
<sst xmlns="http://schemas.openxmlformats.org/spreadsheetml/2006/main" count="344" uniqueCount="103">
  <si>
    <t>Magnitud vectorial</t>
  </si>
  <si>
    <t>Indice de desempeño vectorial</t>
  </si>
  <si>
    <t>Indice de comparación vectorial</t>
  </si>
  <si>
    <t>Velocidad de cambio Magnitud vectorial</t>
  </si>
  <si>
    <t>VECTOR MÁXIMO</t>
  </si>
  <si>
    <t>indice de desempeño</t>
  </si>
  <si>
    <t>Tuxtla</t>
  </si>
  <si>
    <t>Jurisdicción Sanitaria</t>
  </si>
  <si>
    <t>Comitán</t>
  </si>
  <si>
    <t>Villaflores</t>
  </si>
  <si>
    <t>Pichucalco</t>
  </si>
  <si>
    <t>Palenque</t>
  </si>
  <si>
    <t>Tapachula</t>
  </si>
  <si>
    <t>Tonalá</t>
  </si>
  <si>
    <t>Ocosingo</t>
  </si>
  <si>
    <t>Motozintla</t>
  </si>
  <si>
    <t>Estatal</t>
  </si>
  <si>
    <t>TGZ</t>
  </si>
  <si>
    <t>SCLC</t>
  </si>
  <si>
    <t>COM</t>
  </si>
  <si>
    <t>VILL</t>
  </si>
  <si>
    <t>PICH</t>
  </si>
  <si>
    <t>PAL</t>
  </si>
  <si>
    <t>TAP</t>
  </si>
  <si>
    <t>TON</t>
  </si>
  <si>
    <t>OCO</t>
  </si>
  <si>
    <t>MOT</t>
  </si>
  <si>
    <t>EST</t>
  </si>
  <si>
    <t>Presione el ícono para ejecutar el programa</t>
  </si>
  <si>
    <t>GENERAL</t>
  </si>
  <si>
    <t>San Cristóbal</t>
  </si>
  <si>
    <t>Lugar</t>
  </si>
  <si>
    <t>Índice de Evaluación</t>
  </si>
  <si>
    <t>Indicadores Ponderador</t>
  </si>
  <si>
    <t>Categoría</t>
  </si>
  <si>
    <t>Intervalo</t>
  </si>
  <si>
    <t>Gradiente de evaluación</t>
  </si>
  <si>
    <t>Sobresaliente</t>
  </si>
  <si>
    <t>Satisfactorio</t>
  </si>
  <si>
    <t>Mínimo</t>
  </si>
  <si>
    <t>Precario</t>
  </si>
  <si>
    <t xml:space="preserve">Vector diferencia entre </t>
  </si>
  <si>
    <t>-</t>
  </si>
  <si>
    <t>Magnitud</t>
  </si>
  <si>
    <t>Velocidad Mensual de Cambio Según Componente</t>
  </si>
  <si>
    <t>Satisfatorio</t>
  </si>
  <si>
    <t>&lt; 50.0</t>
  </si>
  <si>
    <t>51.0 &lt;100.0</t>
  </si>
  <si>
    <t>39.5 &lt;51.0</t>
  </si>
  <si>
    <t>&lt;39.5</t>
  </si>
  <si>
    <t>100.0 a ≤ 100</t>
  </si>
  <si>
    <t>60.0 &lt;100.0</t>
  </si>
  <si>
    <t>20.0 &lt;60.0</t>
  </si>
  <si>
    <t>&lt;20.0</t>
  </si>
  <si>
    <t>85.0 a ≤ 100.0</t>
  </si>
  <si>
    <t>70.0 a &lt; 85.0</t>
  </si>
  <si>
    <t>50.0 a &lt; 70.0</t>
  </si>
  <si>
    <t>Los Indicadores son:</t>
  </si>
  <si>
    <t xml:space="preserve"> </t>
  </si>
  <si>
    <t>90.0 a ≤ 100.0</t>
  </si>
  <si>
    <t>80.0 - 89.9</t>
  </si>
  <si>
    <t>60.0 - 79.9</t>
  </si>
  <si>
    <t>&lt; 60.0</t>
  </si>
  <si>
    <t>L e p r a</t>
  </si>
  <si>
    <t>Diagnóstico Oportuno</t>
  </si>
  <si>
    <t>Calidad en el Diagnóstico</t>
  </si>
  <si>
    <t>Cobertura del Tratamiento</t>
  </si>
  <si>
    <t>Examen de Contactos</t>
  </si>
  <si>
    <t>LEPRA VECTOR DIFERENCIA</t>
  </si>
  <si>
    <t>1.- Diagnóstico Oportuno</t>
  </si>
  <si>
    <t>2.- Calidad en el Diagnóstico</t>
  </si>
  <si>
    <t>4.- Examen de Contactos</t>
  </si>
  <si>
    <t>3.- Cobertura del Tratamiento</t>
  </si>
  <si>
    <t>&lt; 40.0</t>
  </si>
  <si>
    <t>40.0 - 59.9</t>
  </si>
  <si>
    <t>&gt; 80.0</t>
  </si>
  <si>
    <t>INDICADORES:</t>
  </si>
  <si>
    <t>LEPRA VELOCIDAD DE CAMBIO</t>
  </si>
  <si>
    <t>1er. Semestre 2012</t>
  </si>
  <si>
    <t>1er. Semestre 2013</t>
  </si>
  <si>
    <t>Tasa de Prevalencia Puntual</t>
  </si>
  <si>
    <t>con ponderador 2012</t>
  </si>
  <si>
    <t>con ponderador 2013</t>
  </si>
  <si>
    <r>
      <t xml:space="preserve">3.- </t>
    </r>
    <r>
      <rPr>
        <sz val="8"/>
        <rFont val="Cambria"/>
        <family val="2"/>
        <scheme val="minor"/>
      </rPr>
      <t>Cobertura del Tratamiento</t>
    </r>
  </si>
  <si>
    <r>
      <t>2.-</t>
    </r>
    <r>
      <rPr>
        <sz val="8"/>
        <rFont val="Cambria"/>
        <family val="2"/>
        <scheme val="minor"/>
      </rPr>
      <t xml:space="preserve"> Calidad en el Diagnóstico</t>
    </r>
  </si>
  <si>
    <r>
      <t>4.-</t>
    </r>
    <r>
      <rPr>
        <sz val="8"/>
        <rFont val="Cambria"/>
        <family val="2"/>
        <scheme val="minor"/>
      </rPr>
      <t xml:space="preserve"> Examen de Contactos</t>
    </r>
  </si>
  <si>
    <t>Dirección de Salud Pública</t>
  </si>
  <si>
    <r>
      <rPr>
        <b/>
        <sz val="12"/>
        <rFont val="Arial"/>
        <family val="2"/>
      </rPr>
      <t>Ár</t>
    </r>
    <r>
      <rPr>
        <sz val="12"/>
        <rFont val="Arial"/>
        <family val="2"/>
      </rPr>
      <t>ea de</t>
    </r>
    <r>
      <rPr>
        <b/>
        <sz val="12"/>
        <rFont val="Arial"/>
        <family val="2"/>
      </rPr>
      <t xml:space="preserve"> I</t>
    </r>
    <r>
      <rPr>
        <sz val="12"/>
        <rFont val="Arial"/>
        <family val="2"/>
      </rPr>
      <t>nformación</t>
    </r>
    <r>
      <rPr>
        <b/>
        <sz val="12"/>
        <rFont val="Arial"/>
        <family val="2"/>
      </rPr>
      <t xml:space="preserve"> Epi</t>
    </r>
    <r>
      <rPr>
        <sz val="12"/>
        <rFont val="Arial"/>
        <family val="2"/>
      </rPr>
      <t>demiológica</t>
    </r>
  </si>
  <si>
    <t>1.- Diagnóstico Oportuno ( 30 )</t>
  </si>
  <si>
    <t>2.- Calidad en el Diagnóstico ( 20 )</t>
  </si>
  <si>
    <t>3.- Cobertura de Tratamiento ( 30 )</t>
  </si>
  <si>
    <t>4.- Examen de Contactos ( 20 )</t>
  </si>
  <si>
    <t xml:space="preserve">      Tasa de Prevalencia Puntual ( 0 )</t>
  </si>
  <si>
    <t>1er. Trimestre 2013</t>
  </si>
  <si>
    <t># Casos con discapacidad Grado 0</t>
  </si>
  <si>
    <t># Casos evaluados</t>
  </si>
  <si>
    <t># Casos con estudio de baciloscopia e hitpatología</t>
  </si>
  <si>
    <t># Casos notificados</t>
  </si>
  <si>
    <t># Casos con Tx Poloquimioterapia</t>
  </si>
  <si>
    <t># Contactos examinados</t>
  </si>
  <si>
    <t># Contactos registrados</t>
  </si>
  <si>
    <t>Tuxtla Gutierrez</t>
  </si>
  <si>
    <t>1er. Trimestre 2012</t>
  </si>
</sst>
</file>

<file path=xl/styles.xml><?xml version="1.0" encoding="utf-8"?>
<styleSheet xmlns="http://schemas.openxmlformats.org/spreadsheetml/2006/main">
  <numFmts count="3">
    <numFmt numFmtId="164" formatCode="0.0"/>
    <numFmt numFmtId="165" formatCode="#,##0.0"/>
    <numFmt numFmtId="166" formatCode="#,#00"/>
  </numFmts>
  <fonts count="54">
    <font>
      <sz val="10"/>
      <name val="Arial"/>
    </font>
    <font>
      <sz val="11"/>
      <color theme="1"/>
      <name val="Cambria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Arial"/>
    </font>
    <font>
      <b/>
      <sz val="14"/>
      <color indexed="8"/>
      <name val="Times New Roman"/>
      <family val="1"/>
    </font>
    <font>
      <b/>
      <sz val="8"/>
      <name val="Times New Roman"/>
      <family val="1"/>
    </font>
    <font>
      <b/>
      <sz val="10"/>
      <color indexed="8"/>
      <name val="Times New Roman"/>
      <family val="1"/>
    </font>
    <font>
      <b/>
      <sz val="8"/>
      <color indexed="8"/>
      <name val="Times New Roman"/>
      <family val="1"/>
    </font>
    <font>
      <b/>
      <sz val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</font>
    <font>
      <b/>
      <sz val="16"/>
      <color indexed="18"/>
      <name val="Times New Roman"/>
      <family val="1"/>
    </font>
    <font>
      <b/>
      <sz val="14"/>
      <color indexed="60"/>
      <name val="Arial"/>
      <family val="2"/>
    </font>
    <font>
      <b/>
      <sz val="12"/>
      <color indexed="59"/>
      <name val="Arial"/>
      <family val="2"/>
    </font>
    <font>
      <b/>
      <sz val="14"/>
      <color indexed="18"/>
      <name val="Arial"/>
      <family val="2"/>
    </font>
    <font>
      <b/>
      <sz val="28"/>
      <color indexed="59"/>
      <name val="Arial Black"/>
      <family val="2"/>
    </font>
    <font>
      <sz val="14"/>
      <color indexed="8"/>
      <name val="Times New Roman"/>
      <family val="1"/>
    </font>
    <font>
      <sz val="8"/>
      <name val="Arial"/>
      <family val="2"/>
    </font>
    <font>
      <b/>
      <sz val="6"/>
      <name val="Arial"/>
      <family val="2"/>
    </font>
    <font>
      <b/>
      <sz val="10"/>
      <name val="Arial"/>
    </font>
    <font>
      <sz val="7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sz val="10"/>
      <color indexed="10"/>
      <name val="Arial"/>
      <family val="2"/>
    </font>
    <font>
      <b/>
      <sz val="16"/>
      <name val="Arial"/>
      <family val="2"/>
    </font>
    <font>
      <i/>
      <sz val="8"/>
      <name val="Arial"/>
      <family val="2"/>
    </font>
    <font>
      <sz val="6"/>
      <name val="Arial"/>
    </font>
    <font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8"/>
      <name val="Cambria"/>
      <family val="2"/>
      <scheme val="minor"/>
    </font>
    <font>
      <sz val="8"/>
      <name val="Cambria"/>
      <family val="2"/>
      <scheme val="minor"/>
    </font>
    <font>
      <sz val="10"/>
      <name val="Cambria"/>
      <family val="2"/>
      <scheme val="minor"/>
    </font>
    <font>
      <b/>
      <sz val="10"/>
      <name val="Cambria"/>
      <family val="2"/>
      <scheme val="minor"/>
    </font>
    <font>
      <b/>
      <sz val="18"/>
      <color theme="3"/>
      <name val="Calibri"/>
      <family val="2"/>
      <scheme val="major"/>
    </font>
    <font>
      <b/>
      <sz val="11"/>
      <name val="Cambria"/>
      <family val="2"/>
      <scheme val="minor"/>
    </font>
    <font>
      <b/>
      <sz val="18"/>
      <color theme="3"/>
      <name val="Calibri"/>
      <family val="1"/>
      <scheme val="major"/>
    </font>
    <font>
      <sz val="10"/>
      <name val="Cambria"/>
      <family val="1"/>
      <scheme val="minor"/>
    </font>
    <font>
      <sz val="10"/>
      <name val="Calibri"/>
      <family val="2"/>
      <scheme val="major"/>
    </font>
    <font>
      <b/>
      <sz val="12"/>
      <name val="Calibri"/>
      <family val="2"/>
      <scheme val="major"/>
    </font>
    <font>
      <b/>
      <sz val="8"/>
      <name val="Cambria"/>
      <family val="1"/>
      <scheme val="minor"/>
    </font>
    <font>
      <sz val="8"/>
      <name val="Times New Roman Bold"/>
    </font>
    <font>
      <b/>
      <sz val="8"/>
      <color theme="0"/>
      <name val="Arial"/>
      <family val="2"/>
    </font>
    <font>
      <b/>
      <sz val="11"/>
      <color theme="0"/>
      <name val="Lucida Grande"/>
    </font>
    <font>
      <sz val="8"/>
      <color theme="1"/>
      <name val="Cambria"/>
      <family val="2"/>
      <scheme val="minor"/>
    </font>
    <font>
      <b/>
      <sz val="30"/>
      <color indexed="8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42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42"/>
      </patternFill>
    </fill>
    <fill>
      <patternFill patternType="solid">
        <fgColor theme="5" tint="-0.249946592608417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53"/>
      </left>
      <right/>
      <top style="thick">
        <color indexed="53"/>
      </top>
      <bottom style="thick">
        <color indexed="53"/>
      </bottom>
      <diagonal/>
    </border>
    <border>
      <left/>
      <right style="thick">
        <color indexed="53"/>
      </right>
      <top style="thick">
        <color indexed="53"/>
      </top>
      <bottom style="thick">
        <color indexed="53"/>
      </bottom>
      <diagonal/>
    </border>
    <border>
      <left/>
      <right/>
      <top style="thick">
        <color indexed="53"/>
      </top>
      <bottom style="thick">
        <color indexed="53"/>
      </bottom>
      <diagonal/>
    </border>
    <border>
      <left style="thick">
        <color indexed="53"/>
      </left>
      <right/>
      <top style="thick">
        <color indexed="53"/>
      </top>
      <bottom style="thin">
        <color indexed="53"/>
      </bottom>
      <diagonal/>
    </border>
    <border>
      <left/>
      <right style="thick">
        <color indexed="53"/>
      </right>
      <top style="thick">
        <color indexed="53"/>
      </top>
      <bottom style="thin">
        <color indexed="53"/>
      </bottom>
      <diagonal/>
    </border>
    <border>
      <left/>
      <right/>
      <top style="thick">
        <color indexed="53"/>
      </top>
      <bottom style="thin">
        <color indexed="53"/>
      </bottom>
      <diagonal/>
    </border>
    <border>
      <left style="thick">
        <color indexed="53"/>
      </left>
      <right/>
      <top style="thin">
        <color indexed="53"/>
      </top>
      <bottom style="thin">
        <color indexed="53"/>
      </bottom>
      <diagonal/>
    </border>
    <border>
      <left/>
      <right style="thick">
        <color indexed="53"/>
      </right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 style="thick">
        <color indexed="53"/>
      </left>
      <right/>
      <top/>
      <bottom style="thick">
        <color indexed="53"/>
      </bottom>
      <diagonal/>
    </border>
    <border>
      <left/>
      <right style="thick">
        <color indexed="53"/>
      </right>
      <top/>
      <bottom style="thick">
        <color indexed="53"/>
      </bottom>
      <diagonal/>
    </border>
    <border>
      <left/>
      <right/>
      <top/>
      <bottom style="thick">
        <color indexed="5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2" fillId="0" borderId="0" applyNumberFormat="0" applyFill="0" applyBorder="0" applyAlignment="0" applyProtection="0"/>
    <xf numFmtId="0" fontId="1" fillId="0" borderId="0"/>
  </cellStyleXfs>
  <cellXfs count="311">
    <xf numFmtId="0" fontId="0" fillId="0" borderId="0" xfId="0"/>
    <xf numFmtId="164" fontId="0" fillId="0" borderId="0" xfId="0" applyNumberFormat="1"/>
    <xf numFmtId="0" fontId="3" fillId="0" borderId="0" xfId="0" applyFont="1" applyProtection="1"/>
    <xf numFmtId="0" fontId="0" fillId="0" borderId="0" xfId="0" applyProtection="1"/>
    <xf numFmtId="1" fontId="2" fillId="2" borderId="1" xfId="0" applyNumberFormat="1" applyFont="1" applyFill="1" applyBorder="1" applyAlignment="1" applyProtection="1">
      <alignment horizontal="left" vertical="center"/>
    </xf>
    <xf numFmtId="0" fontId="0" fillId="0" borderId="0" xfId="0" applyBorder="1" applyProtection="1"/>
    <xf numFmtId="1" fontId="0" fillId="0" borderId="0" xfId="0" applyNumberFormat="1" applyBorder="1" applyProtection="1"/>
    <xf numFmtId="4" fontId="0" fillId="0" borderId="0" xfId="0" applyNumberFormat="1" applyBorder="1" applyProtection="1"/>
    <xf numFmtId="2" fontId="0" fillId="0" borderId="0" xfId="0" applyNumberFormat="1" applyBorder="1" applyProtection="1"/>
    <xf numFmtId="2" fontId="0" fillId="0" borderId="0" xfId="0" applyNumberFormat="1" applyProtection="1"/>
    <xf numFmtId="164" fontId="0" fillId="0" borderId="0" xfId="0" applyNumberFormat="1" applyProtection="1"/>
    <xf numFmtId="1" fontId="0" fillId="0" borderId="0" xfId="0" applyNumberFormat="1" applyProtection="1"/>
    <xf numFmtId="0" fontId="4" fillId="2" borderId="1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/>
    <xf numFmtId="164" fontId="5" fillId="0" borderId="0" xfId="0" applyNumberFormat="1" applyFont="1"/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6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center" vertical="justify"/>
      <protection locked="0"/>
    </xf>
    <xf numFmtId="164" fontId="6" fillId="0" borderId="0" xfId="0" applyNumberFormat="1" applyFont="1" applyAlignment="1" applyProtection="1">
      <protection locked="0"/>
    </xf>
    <xf numFmtId="0" fontId="0" fillId="0" borderId="0" xfId="0" applyAlignment="1"/>
    <xf numFmtId="0" fontId="0" fillId="0" borderId="0" xfId="0" applyNumberFormat="1" applyBorder="1" applyProtection="1"/>
    <xf numFmtId="0" fontId="9" fillId="0" borderId="0" xfId="0" applyFont="1" applyAlignment="1">
      <alignment horizontal="center" vertical="justify"/>
    </xf>
    <xf numFmtId="164" fontId="9" fillId="0" borderId="0" xfId="0" applyNumberFormat="1" applyFont="1" applyAlignment="1" applyProtection="1">
      <alignment horizontal="center" vertical="justify"/>
      <protection locked="0"/>
    </xf>
    <xf numFmtId="164" fontId="9" fillId="0" borderId="0" xfId="0" applyNumberFormat="1" applyFont="1" applyAlignment="1">
      <alignment horizontal="center" vertical="justify"/>
    </xf>
    <xf numFmtId="0" fontId="12" fillId="0" borderId="0" xfId="0" applyFont="1" applyAlignment="1" applyProtection="1">
      <alignment horizontal="justify"/>
    </xf>
    <xf numFmtId="49" fontId="9" fillId="9" borderId="0" xfId="0" applyNumberFormat="1" applyFont="1" applyFill="1" applyAlignment="1" applyProtection="1">
      <alignment horizontal="center" vertical="justify"/>
      <protection locked="0"/>
    </xf>
    <xf numFmtId="164" fontId="6" fillId="9" borderId="0" xfId="0" applyNumberFormat="1" applyFont="1" applyFill="1" applyProtection="1">
      <protection locked="0"/>
    </xf>
    <xf numFmtId="49" fontId="11" fillId="8" borderId="0" xfId="0" applyNumberFormat="1" applyFont="1" applyFill="1" applyAlignment="1" applyProtection="1">
      <alignment horizontal="center" vertical="justify"/>
      <protection locked="0"/>
    </xf>
    <xf numFmtId="164" fontId="10" fillId="8" borderId="0" xfId="0" applyNumberFormat="1" applyFont="1" applyFill="1" applyProtection="1">
      <protection locked="0"/>
    </xf>
    <xf numFmtId="2" fontId="0" fillId="0" borderId="0" xfId="0" applyNumberFormat="1" applyBorder="1" applyAlignment="1" applyProtection="1">
      <alignment horizontal="center" vertical="justify"/>
    </xf>
    <xf numFmtId="0" fontId="0" fillId="0" borderId="0" xfId="0" applyAlignment="1" applyProtection="1">
      <alignment horizontal="center" vertical="justify"/>
    </xf>
    <xf numFmtId="164" fontId="13" fillId="0" borderId="0" xfId="0" applyNumberFormat="1" applyFont="1" applyFill="1"/>
    <xf numFmtId="164" fontId="10" fillId="0" borderId="0" xfId="0" applyNumberFormat="1" applyFont="1" applyFill="1"/>
    <xf numFmtId="0" fontId="13" fillId="0" borderId="0" xfId="0" applyFont="1"/>
    <xf numFmtId="0" fontId="14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justify"/>
    </xf>
    <xf numFmtId="164" fontId="13" fillId="0" borderId="0" xfId="0" applyNumberFormat="1" applyFont="1"/>
    <xf numFmtId="0" fontId="10" fillId="0" borderId="0" xfId="0" applyFont="1"/>
    <xf numFmtId="164" fontId="10" fillId="0" borderId="0" xfId="0" applyNumberFormat="1" applyFont="1"/>
    <xf numFmtId="164" fontId="9" fillId="0" borderId="0" xfId="0" applyNumberFormat="1" applyFont="1" applyFill="1" applyAlignment="1">
      <alignment horizontal="center" vertical="justify"/>
    </xf>
    <xf numFmtId="164" fontId="5" fillId="0" borderId="0" xfId="0" applyNumberFormat="1" applyFont="1" applyFill="1"/>
    <xf numFmtId="164" fontId="9" fillId="3" borderId="0" xfId="0" applyNumberFormat="1" applyFont="1" applyFill="1" applyAlignment="1" applyProtection="1">
      <alignment horizontal="center" vertical="justify"/>
      <protection locked="0"/>
    </xf>
    <xf numFmtId="164" fontId="6" fillId="3" borderId="0" xfId="0" applyNumberFormat="1" applyFont="1" applyFill="1" applyProtection="1">
      <protection locked="0"/>
    </xf>
    <xf numFmtId="0" fontId="7" fillId="0" borderId="0" xfId="0" applyFont="1" applyProtection="1"/>
    <xf numFmtId="4" fontId="7" fillId="0" borderId="0" xfId="0" applyNumberFormat="1" applyFont="1" applyProtection="1"/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center" vertical="justify" wrapText="1"/>
    </xf>
    <xf numFmtId="0" fontId="0" fillId="0" borderId="0" xfId="0" applyAlignment="1">
      <alignment horizontal="center" vertical="center" textRotation="45" wrapText="1"/>
    </xf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2" fillId="0" borderId="0" xfId="0" applyFont="1" applyAlignment="1">
      <alignment vertical="center" wrapText="1"/>
    </xf>
    <xf numFmtId="0" fontId="5" fillId="0" borderId="0" xfId="0" applyFont="1" applyBorder="1"/>
    <xf numFmtId="164" fontId="6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center"/>
    </xf>
    <xf numFmtId="164" fontId="9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164" fontId="12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vertical="center"/>
    </xf>
    <xf numFmtId="0" fontId="28" fillId="0" borderId="0" xfId="0" applyFont="1"/>
    <xf numFmtId="0" fontId="21" fillId="0" borderId="0" xfId="0" applyFont="1"/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9" fillId="0" borderId="0" xfId="0" applyFont="1"/>
    <xf numFmtId="0" fontId="7" fillId="10" borderId="7" xfId="0" applyFont="1" applyFill="1" applyBorder="1"/>
    <xf numFmtId="164" fontId="7" fillId="10" borderId="9" xfId="0" applyNumberFormat="1" applyFont="1" applyFill="1" applyBorder="1"/>
    <xf numFmtId="0" fontId="7" fillId="10" borderId="10" xfId="0" applyFont="1" applyFill="1" applyBorder="1"/>
    <xf numFmtId="164" fontId="7" fillId="10" borderId="12" xfId="0" applyNumberFormat="1" applyFont="1" applyFill="1" applyBorder="1"/>
    <xf numFmtId="0" fontId="12" fillId="10" borderId="13" xfId="0" applyFont="1" applyFill="1" applyBorder="1"/>
    <xf numFmtId="164" fontId="12" fillId="10" borderId="15" xfId="0" applyNumberFormat="1" applyFont="1" applyFill="1" applyBorder="1"/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4" fillId="0" borderId="0" xfId="0" applyFont="1" applyAlignment="1"/>
    <xf numFmtId="0" fontId="3" fillId="0" borderId="0" xfId="0" applyFont="1"/>
    <xf numFmtId="0" fontId="11" fillId="0" borderId="0" xfId="0" applyFont="1" applyFill="1" applyAlignment="1">
      <alignment horizontal="center" vertical="justify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2" fillId="0" borderId="0" xfId="0" applyFont="1"/>
    <xf numFmtId="0" fontId="0" fillId="0" borderId="0" xfId="0" applyFill="1" applyAlignment="1">
      <alignment horizontal="center" vertical="justify"/>
    </xf>
    <xf numFmtId="0" fontId="0" fillId="0" borderId="0" xfId="0" applyFill="1"/>
    <xf numFmtId="0" fontId="14" fillId="0" borderId="0" xfId="0" applyFont="1" applyFill="1"/>
    <xf numFmtId="164" fontId="0" fillId="0" borderId="0" xfId="0" applyNumberFormat="1" applyBorder="1" applyProtection="1"/>
    <xf numFmtId="0" fontId="10" fillId="0" borderId="0" xfId="0" applyFont="1" applyFill="1" applyBorder="1" applyAlignment="1" applyProtection="1">
      <alignment horizontal="left" vertical="center"/>
    </xf>
    <xf numFmtId="0" fontId="36" fillId="15" borderId="1" xfId="0" applyFont="1" applyFill="1" applyBorder="1" applyAlignment="1" applyProtection="1">
      <alignment horizontal="center" vertical="center" wrapText="1"/>
    </xf>
    <xf numFmtId="0" fontId="36" fillId="8" borderId="1" xfId="0" applyFont="1" applyFill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1" fontId="2" fillId="10" borderId="1" xfId="0" applyNumberFormat="1" applyFont="1" applyFill="1" applyBorder="1" applyAlignment="1" applyProtection="1">
      <alignment horizontal="left" vertical="center"/>
    </xf>
    <xf numFmtId="4" fontId="2" fillId="16" borderId="1" xfId="0" applyNumberFormat="1" applyFont="1" applyFill="1" applyBorder="1" applyAlignment="1" applyProtection="1">
      <alignment horizontal="right"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right" vertical="center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36" fillId="9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11" fillId="18" borderId="0" xfId="0" applyFont="1" applyFill="1" applyAlignment="1">
      <alignment horizontal="center" vertical="justify"/>
    </xf>
    <xf numFmtId="164" fontId="13" fillId="18" borderId="0" xfId="0" applyNumberFormat="1" applyFont="1" applyFill="1"/>
    <xf numFmtId="164" fontId="10" fillId="18" borderId="0" xfId="0" applyNumberFormat="1" applyFont="1" applyFill="1"/>
    <xf numFmtId="164" fontId="2" fillId="20" borderId="1" xfId="0" applyNumberFormat="1" applyFont="1" applyFill="1" applyBorder="1" applyAlignment="1" applyProtection="1">
      <alignment horizontal="right" vertical="center"/>
      <protection locked="0"/>
    </xf>
    <xf numFmtId="0" fontId="4" fillId="21" borderId="1" xfId="0" applyFont="1" applyFill="1" applyBorder="1" applyAlignment="1" applyProtection="1">
      <alignment horizontal="center" vertical="center" wrapText="1"/>
    </xf>
    <xf numFmtId="0" fontId="4" fillId="18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  <protection hidden="1"/>
    </xf>
    <xf numFmtId="1" fontId="4" fillId="0" borderId="1" xfId="0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0" fontId="35" fillId="8" borderId="1" xfId="0" applyFont="1" applyFill="1" applyBorder="1" applyAlignment="1">
      <alignment horizontal="left" vertical="center"/>
    </xf>
    <xf numFmtId="0" fontId="0" fillId="0" borderId="0" xfId="0" applyAlignment="1" applyProtection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164" fontId="37" fillId="15" borderId="1" xfId="0" applyNumberFormat="1" applyFont="1" applyFill="1" applyBorder="1" applyAlignment="1" applyProtection="1">
      <alignment horizontal="right" vertical="center"/>
    </xf>
    <xf numFmtId="2" fontId="2" fillId="3" borderId="1" xfId="0" applyNumberFormat="1" applyFont="1" applyFill="1" applyBorder="1" applyAlignment="1" applyProtection="1">
      <alignment horizontal="right" vertical="center"/>
    </xf>
    <xf numFmtId="2" fontId="2" fillId="4" borderId="1" xfId="0" applyNumberFormat="1" applyFont="1" applyFill="1" applyBorder="1" applyAlignment="1" applyProtection="1">
      <alignment horizontal="right" vertical="center"/>
    </xf>
    <xf numFmtId="2" fontId="2" fillId="5" borderId="1" xfId="0" applyNumberFormat="1" applyFont="1" applyFill="1" applyBorder="1" applyAlignment="1" applyProtection="1">
      <alignment horizontal="right" vertical="center"/>
    </xf>
    <xf numFmtId="2" fontId="2" fillId="6" borderId="1" xfId="0" applyNumberFormat="1" applyFont="1" applyFill="1" applyBorder="1" applyAlignment="1" applyProtection="1">
      <alignment horizontal="right" vertical="center"/>
    </xf>
    <xf numFmtId="2" fontId="2" fillId="7" borderId="1" xfId="0" applyNumberFormat="1" applyFont="1" applyFill="1" applyBorder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4" fontId="7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</xf>
    <xf numFmtId="165" fontId="13" fillId="0" borderId="0" xfId="0" applyNumberFormat="1" applyFont="1"/>
    <xf numFmtId="165" fontId="10" fillId="0" borderId="0" xfId="0" applyNumberFormat="1" applyFont="1"/>
    <xf numFmtId="0" fontId="0" fillId="22" borderId="0" xfId="0" applyFill="1"/>
    <xf numFmtId="0" fontId="22" fillId="22" borderId="0" xfId="0" applyFont="1" applyFill="1" applyAlignment="1"/>
    <xf numFmtId="0" fontId="38" fillId="22" borderId="1" xfId="0" applyFont="1" applyFill="1" applyBorder="1" applyAlignment="1">
      <alignment horizontal="center" vertical="justify"/>
    </xf>
    <xf numFmtId="49" fontId="38" fillId="22" borderId="1" xfId="0" applyNumberFormat="1" applyFont="1" applyFill="1" applyBorder="1" applyAlignment="1">
      <alignment horizontal="center" vertical="justify"/>
    </xf>
    <xf numFmtId="0" fontId="39" fillId="22" borderId="1" xfId="0" applyFont="1" applyFill="1" applyBorder="1" applyAlignment="1">
      <alignment horizontal="center" vertical="center"/>
    </xf>
    <xf numFmtId="164" fontId="38" fillId="22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center" vertical="center"/>
    </xf>
    <xf numFmtId="0" fontId="0" fillId="23" borderId="0" xfId="0" applyFill="1"/>
    <xf numFmtId="0" fontId="22" fillId="23" borderId="0" xfId="0" applyFont="1" applyFill="1" applyAlignment="1"/>
    <xf numFmtId="0" fontId="6" fillId="23" borderId="0" xfId="0" applyFont="1" applyFill="1" applyAlignment="1"/>
    <xf numFmtId="0" fontId="0" fillId="23" borderId="0" xfId="0" applyFill="1" applyAlignment="1"/>
    <xf numFmtId="164" fontId="39" fillId="23" borderId="1" xfId="0" applyNumberFormat="1" applyFont="1" applyFill="1" applyBorder="1" applyAlignment="1">
      <alignment horizontal="left" vertical="center"/>
    </xf>
    <xf numFmtId="164" fontId="38" fillId="23" borderId="1" xfId="0" applyNumberFormat="1" applyFont="1" applyFill="1" applyBorder="1" applyAlignment="1">
      <alignment vertical="center"/>
    </xf>
    <xf numFmtId="164" fontId="39" fillId="23" borderId="1" xfId="0" applyNumberFormat="1" applyFont="1" applyFill="1" applyBorder="1" applyAlignment="1">
      <alignment horizontal="right" vertical="center"/>
    </xf>
    <xf numFmtId="164" fontId="38" fillId="23" borderId="1" xfId="0" applyNumberFormat="1" applyFont="1" applyFill="1" applyBorder="1" applyAlignment="1">
      <alignment horizontal="left" vertical="center"/>
    </xf>
    <xf numFmtId="0" fontId="23" fillId="23" borderId="0" xfId="0" applyFont="1" applyFill="1" applyAlignment="1"/>
    <xf numFmtId="164" fontId="38" fillId="23" borderId="1" xfId="0" applyNumberFormat="1" applyFont="1" applyFill="1" applyBorder="1" applyAlignment="1">
      <alignment horizontal="right" vertical="center"/>
    </xf>
    <xf numFmtId="0" fontId="24" fillId="23" borderId="3" xfId="0" applyFont="1" applyFill="1" applyBorder="1" applyAlignment="1">
      <alignment vertical="center" wrapText="1"/>
    </xf>
    <xf numFmtId="0" fontId="0" fillId="23" borderId="3" xfId="0" applyFill="1" applyBorder="1" applyAlignment="1"/>
    <xf numFmtId="0" fontId="38" fillId="23" borderId="0" xfId="0" applyFont="1" applyFill="1" applyAlignment="1"/>
    <xf numFmtId="0" fontId="39" fillId="23" borderId="0" xfId="0" applyFont="1" applyFill="1" applyAlignment="1"/>
    <xf numFmtId="0" fontId="22" fillId="23" borderId="0" xfId="0" applyFont="1" applyFill="1" applyAlignment="1">
      <alignment horizontal="left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22" fillId="23" borderId="0" xfId="0" applyFont="1" applyFill="1"/>
    <xf numFmtId="0" fontId="32" fillId="19" borderId="0" xfId="0" applyFont="1" applyFill="1"/>
    <xf numFmtId="0" fontId="39" fillId="23" borderId="0" xfId="0" applyFont="1" applyFill="1"/>
    <xf numFmtId="0" fontId="40" fillId="18" borderId="18" xfId="0" applyFont="1" applyFill="1" applyBorder="1"/>
    <xf numFmtId="0" fontId="40" fillId="13" borderId="17" xfId="0" applyFont="1" applyFill="1" applyBorder="1"/>
    <xf numFmtId="0" fontId="40" fillId="21" borderId="18" xfId="0" applyFont="1" applyFill="1" applyBorder="1"/>
    <xf numFmtId="0" fontId="40" fillId="14" borderId="19" xfId="0" applyFont="1" applyFill="1" applyBorder="1"/>
    <xf numFmtId="0" fontId="40" fillId="0" borderId="0" xfId="0" applyFont="1"/>
    <xf numFmtId="0" fontId="40" fillId="0" borderId="22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/>
    </xf>
    <xf numFmtId="0" fontId="40" fillId="0" borderId="20" xfId="0" applyFont="1" applyBorder="1" applyAlignment="1">
      <alignment horizontal="center" vertical="center"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 vertical="center" wrapText="1"/>
    </xf>
    <xf numFmtId="0" fontId="40" fillId="0" borderId="21" xfId="0" applyFont="1" applyBorder="1" applyAlignment="1">
      <alignment horizontal="center"/>
    </xf>
    <xf numFmtId="0" fontId="39" fillId="0" borderId="1" xfId="0" applyFont="1" applyBorder="1"/>
    <xf numFmtId="0" fontId="39" fillId="0" borderId="1" xfId="0" applyFont="1" applyBorder="1" applyAlignment="1">
      <alignment horizontal="center"/>
    </xf>
    <xf numFmtId="164" fontId="4" fillId="17" borderId="1" xfId="0" applyNumberFormat="1" applyFont="1" applyFill="1" applyBorder="1" applyAlignment="1" applyProtection="1">
      <alignment horizontal="right" vertical="center"/>
    </xf>
    <xf numFmtId="0" fontId="8" fillId="24" borderId="0" xfId="0" applyFont="1" applyFill="1" applyAlignment="1">
      <alignment horizontal="center" vertical="center"/>
    </xf>
    <xf numFmtId="0" fontId="20" fillId="24" borderId="0" xfId="0" applyFont="1" applyFill="1" applyAlignment="1">
      <alignment vertical="center"/>
    </xf>
    <xf numFmtId="164" fontId="44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164" fontId="20" fillId="0" borderId="0" xfId="0" applyNumberFormat="1" applyFont="1" applyFill="1" applyAlignment="1">
      <alignment horizontal="center" vertical="center"/>
    </xf>
    <xf numFmtId="0" fontId="20" fillId="24" borderId="0" xfId="0" applyFont="1" applyFill="1" applyAlignment="1">
      <alignment horizontal="left" vertical="center"/>
    </xf>
    <xf numFmtId="164" fontId="20" fillId="24" borderId="0" xfId="0" applyNumberFormat="1" applyFont="1" applyFill="1" applyAlignment="1">
      <alignment horizontal="center" vertical="center"/>
    </xf>
    <xf numFmtId="0" fontId="44" fillId="24" borderId="0" xfId="1" applyFont="1" applyFill="1" applyBorder="1" applyAlignment="1">
      <alignment horizontal="center" vertical="center"/>
    </xf>
    <xf numFmtId="164" fontId="44" fillId="24" borderId="0" xfId="1" applyNumberFormat="1" applyFont="1" applyFill="1" applyBorder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164" fontId="8" fillId="24" borderId="0" xfId="0" applyNumberFormat="1" applyFont="1" applyFill="1" applyAlignment="1">
      <alignment horizontal="center" vertical="center"/>
    </xf>
    <xf numFmtId="0" fontId="43" fillId="0" borderId="0" xfId="0" applyFont="1" applyFill="1" applyAlignment="1">
      <alignment horizontal="center" vertical="justify" textRotation="90"/>
    </xf>
    <xf numFmtId="164" fontId="2" fillId="0" borderId="0" xfId="0" applyNumberFormat="1" applyFont="1" applyAlignment="1"/>
    <xf numFmtId="164" fontId="36" fillId="8" borderId="1" xfId="0" applyNumberFormat="1" applyFont="1" applyFill="1" applyBorder="1" applyAlignment="1" applyProtection="1">
      <alignment horizontal="right" vertical="center"/>
    </xf>
    <xf numFmtId="164" fontId="6" fillId="0" borderId="0" xfId="0" applyNumberFormat="1" applyFont="1" applyFill="1"/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vertical="center"/>
    </xf>
    <xf numFmtId="1" fontId="2" fillId="20" borderId="1" xfId="0" applyNumberFormat="1" applyFont="1" applyFill="1" applyBorder="1" applyAlignment="1" applyProtection="1">
      <alignment horizontal="right" vertical="center"/>
    </xf>
    <xf numFmtId="0" fontId="4" fillId="2" borderId="1" xfId="0" applyFont="1" applyFill="1" applyBorder="1" applyAlignment="1" applyProtection="1">
      <alignment horizontal="right" vertical="center"/>
    </xf>
    <xf numFmtId="1" fontId="2" fillId="10" borderId="1" xfId="0" applyNumberFormat="1" applyFont="1" applyFill="1" applyBorder="1" applyAlignment="1" applyProtection="1">
      <alignment horizontal="right" vertical="center"/>
    </xf>
    <xf numFmtId="0" fontId="48" fillId="23" borderId="1" xfId="0" applyFont="1" applyFill="1" applyBorder="1" applyAlignment="1">
      <alignment horizontal="center" vertical="center"/>
    </xf>
    <xf numFmtId="49" fontId="38" fillId="25" borderId="16" xfId="0" applyNumberFormat="1" applyFont="1" applyFill="1" applyBorder="1" applyAlignment="1">
      <alignment horizontal="center" vertical="justify"/>
    </xf>
    <xf numFmtId="49" fontId="38" fillId="25" borderId="16" xfId="0" applyNumberFormat="1" applyFont="1" applyFill="1" applyBorder="1" applyAlignment="1">
      <alignment horizontal="center" vertical="center"/>
    </xf>
    <xf numFmtId="49" fontId="38" fillId="25" borderId="23" xfId="0" applyNumberFormat="1" applyFont="1" applyFill="1" applyBorder="1" applyAlignment="1">
      <alignment horizontal="center" vertical="justify"/>
    </xf>
    <xf numFmtId="0" fontId="0" fillId="26" borderId="0" xfId="0" applyFill="1"/>
    <xf numFmtId="0" fontId="0" fillId="25" borderId="0" xfId="0" applyFill="1"/>
    <xf numFmtId="0" fontId="35" fillId="0" borderId="43" xfId="0" applyFont="1" applyBorder="1" applyAlignment="1">
      <alignment vertical="center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0" fontId="1" fillId="0" borderId="0" xfId="2"/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1" xfId="2" applyFont="1" applyFill="1" applyBorder="1" applyAlignment="1" applyProtection="1">
      <alignment horizontal="center" vertical="center" wrapText="1"/>
    </xf>
    <xf numFmtId="0" fontId="50" fillId="28" borderId="1" xfId="2" applyFont="1" applyFill="1" applyBorder="1" applyAlignment="1" applyProtection="1">
      <alignment horizontal="center" vertical="center" wrapText="1"/>
    </xf>
    <xf numFmtId="0" fontId="51" fillId="27" borderId="1" xfId="2" applyNumberFormat="1" applyFont="1" applyFill="1" applyBorder="1" applyAlignment="1"/>
    <xf numFmtId="164" fontId="2" fillId="29" borderId="1" xfId="2" applyNumberFormat="1" applyFont="1" applyFill="1" applyBorder="1" applyAlignment="1" applyProtection="1">
      <alignment horizontal="right" vertical="center"/>
      <protection locked="0"/>
    </xf>
    <xf numFmtId="0" fontId="49" fillId="27" borderId="44" xfId="2" applyNumberFormat="1" applyFont="1" applyFill="1" applyBorder="1" applyAlignment="1">
      <alignment vertical="center"/>
    </xf>
    <xf numFmtId="0" fontId="52" fillId="0" borderId="0" xfId="2" applyFont="1"/>
    <xf numFmtId="0" fontId="49" fillId="27" borderId="43" xfId="2" applyNumberFormat="1" applyFont="1" applyFill="1" applyBorder="1" applyAlignment="1">
      <alignment vertical="center"/>
    </xf>
    <xf numFmtId="164" fontId="4" fillId="30" borderId="1" xfId="0" applyNumberFormat="1" applyFont="1" applyFill="1" applyBorder="1" applyAlignment="1" applyProtection="1">
      <alignment horizontal="right" vertical="center"/>
    </xf>
    <xf numFmtId="3" fontId="2" fillId="31" borderId="1" xfId="2" applyNumberFormat="1" applyFont="1" applyFill="1" applyBorder="1" applyAlignment="1" applyProtection="1">
      <alignment horizontal="right" vertical="center"/>
      <protection locked="0"/>
    </xf>
    <xf numFmtId="0" fontId="50" fillId="28" borderId="24" xfId="2" applyFont="1" applyFill="1" applyBorder="1" applyAlignment="1" applyProtection="1">
      <alignment horizontal="center" vertical="center" wrapText="1"/>
    </xf>
    <xf numFmtId="0" fontId="50" fillId="28" borderId="23" xfId="2" applyFont="1" applyFill="1" applyBorder="1" applyAlignment="1" applyProtection="1">
      <alignment horizontal="center" vertical="center" wrapText="1"/>
    </xf>
    <xf numFmtId="0" fontId="49" fillId="27" borderId="1" xfId="2" applyNumberFormat="1" applyFont="1" applyFill="1" applyBorder="1" applyAlignment="1">
      <alignment horizontal="center" vertical="center"/>
    </xf>
    <xf numFmtId="49" fontId="50" fillId="21" borderId="16" xfId="2" applyNumberFormat="1" applyFont="1" applyFill="1" applyBorder="1" applyAlignment="1" applyProtection="1">
      <alignment horizontal="center" vertical="center"/>
      <protection locked="0"/>
    </xf>
    <xf numFmtId="49" fontId="50" fillId="21" borderId="23" xfId="2" applyNumberFormat="1" applyFont="1" applyFill="1" applyBorder="1" applyAlignment="1" applyProtection="1">
      <alignment horizontal="center" vertical="center"/>
      <protection locked="0"/>
    </xf>
    <xf numFmtId="49" fontId="50" fillId="28" borderId="24" xfId="2" applyNumberFormat="1" applyFont="1" applyFill="1" applyBorder="1" applyAlignment="1" applyProtection="1">
      <alignment horizontal="center" vertical="center"/>
      <protection locked="0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49" fontId="50" fillId="28" borderId="23" xfId="2" applyNumberFormat="1" applyFont="1" applyFill="1" applyBorder="1" applyAlignment="1" applyProtection="1">
      <alignment horizontal="center" vertical="center"/>
      <protection locked="0"/>
    </xf>
    <xf numFmtId="0" fontId="50" fillId="21" borderId="16" xfId="2" applyFont="1" applyFill="1" applyBorder="1" applyAlignment="1" applyProtection="1">
      <alignment horizontal="center" vertical="center" wrapText="1"/>
    </xf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24" xfId="2" applyFont="1" applyFill="1" applyBorder="1" applyAlignment="1" applyProtection="1">
      <alignment horizontal="center" vertical="center" wrapText="1"/>
    </xf>
    <xf numFmtId="0" fontId="8" fillId="0" borderId="0" xfId="2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5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34" fillId="21" borderId="16" xfId="0" applyFont="1" applyFill="1" applyBorder="1" applyAlignment="1" applyProtection="1">
      <alignment horizontal="center" vertical="center"/>
      <protection locked="0"/>
    </xf>
    <xf numFmtId="0" fontId="34" fillId="21" borderId="23" xfId="0" applyFont="1" applyFill="1" applyBorder="1" applyAlignment="1" applyProtection="1">
      <alignment horizontal="center" vertical="center"/>
      <protection locked="0"/>
    </xf>
    <xf numFmtId="0" fontId="34" fillId="18" borderId="42" xfId="0" applyFont="1" applyFill="1" applyBorder="1" applyAlignment="1" applyProtection="1">
      <alignment horizontal="center" vertical="center"/>
      <protection locked="0"/>
    </xf>
    <xf numFmtId="0" fontId="34" fillId="18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>
      <alignment horizontal="center" vertical="justify" textRotation="90"/>
    </xf>
    <xf numFmtId="0" fontId="19" fillId="0" borderId="0" xfId="0" applyFont="1" applyAlignment="1">
      <alignment horizontal="center" vertical="center"/>
    </xf>
    <xf numFmtId="0" fontId="41" fillId="0" borderId="25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 applyProtection="1">
      <alignment horizontal="center" vertical="center" wrapText="1"/>
    </xf>
    <xf numFmtId="0" fontId="41" fillId="0" borderId="28" xfId="0" applyFont="1" applyBorder="1" applyAlignment="1" applyProtection="1">
      <alignment horizontal="center" vertical="center" wrapText="1"/>
    </xf>
    <xf numFmtId="0" fontId="40" fillId="13" borderId="29" xfId="0" applyFont="1" applyFill="1" applyBorder="1" applyAlignment="1" applyProtection="1">
      <alignment horizontal="center"/>
    </xf>
    <xf numFmtId="0" fontId="40" fillId="13" borderId="30" xfId="0" applyFont="1" applyFill="1" applyBorder="1" applyAlignment="1" applyProtection="1">
      <alignment horizontal="center"/>
    </xf>
    <xf numFmtId="0" fontId="40" fillId="8" borderId="29" xfId="0" applyFont="1" applyFill="1" applyBorder="1" applyAlignment="1" applyProtection="1">
      <alignment horizontal="center"/>
    </xf>
    <xf numFmtId="0" fontId="40" fillId="8" borderId="30" xfId="0" applyFont="1" applyFill="1" applyBorder="1" applyAlignment="1" applyProtection="1">
      <alignment horizontal="center"/>
    </xf>
    <xf numFmtId="0" fontId="40" fillId="14" borderId="31" xfId="0" applyFont="1" applyFill="1" applyBorder="1" applyAlignment="1" applyProtection="1">
      <alignment horizontal="center"/>
    </xf>
    <xf numFmtId="0" fontId="40" fillId="14" borderId="32" xfId="0" applyFont="1" applyFill="1" applyBorder="1" applyAlignment="1" applyProtection="1">
      <alignment horizontal="center"/>
    </xf>
    <xf numFmtId="0" fontId="40" fillId="0" borderId="31" xfId="0" applyFont="1" applyBorder="1" applyAlignment="1">
      <alignment horizontal="center"/>
    </xf>
    <xf numFmtId="0" fontId="40" fillId="0" borderId="32" xfId="0" applyFont="1" applyBorder="1" applyAlignment="1">
      <alignment horizontal="center"/>
    </xf>
    <xf numFmtId="0" fontId="41" fillId="0" borderId="33" xfId="0" applyFont="1" applyBorder="1" applyAlignment="1" applyProtection="1">
      <alignment horizontal="center" vertical="center" wrapText="1"/>
    </xf>
    <xf numFmtId="0" fontId="41" fillId="0" borderId="34" xfId="0" applyFont="1" applyBorder="1" applyAlignment="1" applyProtection="1">
      <alignment horizontal="center" vertical="center" wrapText="1"/>
    </xf>
    <xf numFmtId="0" fontId="41" fillId="0" borderId="29" xfId="0" applyFont="1" applyBorder="1" applyAlignment="1" applyProtection="1">
      <alignment horizontal="center" vertical="center" wrapText="1"/>
    </xf>
    <xf numFmtId="0" fontId="41" fillId="0" borderId="30" xfId="0" applyFont="1" applyBorder="1" applyAlignment="1" applyProtection="1">
      <alignment horizontal="center" vertical="center" wrapText="1"/>
    </xf>
    <xf numFmtId="0" fontId="41" fillId="0" borderId="35" xfId="0" applyFont="1" applyBorder="1" applyAlignment="1" applyProtection="1">
      <alignment horizontal="center" vertical="center" wrapText="1"/>
    </xf>
    <xf numFmtId="0" fontId="41" fillId="0" borderId="36" xfId="0" applyFont="1" applyBorder="1" applyAlignment="1" applyProtection="1">
      <alignment horizontal="center" vertical="center" wrapText="1"/>
    </xf>
    <xf numFmtId="0" fontId="41" fillId="0" borderId="23" xfId="0" applyFont="1" applyBorder="1" applyAlignment="1" applyProtection="1">
      <alignment horizontal="center" vertical="center" wrapText="1"/>
    </xf>
    <xf numFmtId="0" fontId="41" fillId="0" borderId="24" xfId="0" applyFont="1" applyBorder="1" applyAlignment="1" applyProtection="1">
      <alignment horizontal="center" vertical="center" wrapText="1"/>
    </xf>
    <xf numFmtId="0" fontId="40" fillId="0" borderId="29" xfId="0" applyFont="1" applyBorder="1" applyAlignment="1">
      <alignment horizontal="center"/>
    </xf>
    <xf numFmtId="0" fontId="40" fillId="0" borderId="30" xfId="0" applyFont="1" applyBorder="1" applyAlignment="1">
      <alignment horizontal="center"/>
    </xf>
    <xf numFmtId="0" fontId="40" fillId="12" borderId="29" xfId="0" applyFont="1" applyFill="1" applyBorder="1" applyAlignment="1" applyProtection="1">
      <alignment horizontal="center"/>
    </xf>
    <xf numFmtId="0" fontId="40" fillId="12" borderId="30" xfId="0" applyFont="1" applyFill="1" applyBorder="1" applyAlignment="1" applyProtection="1">
      <alignment horizontal="center"/>
    </xf>
    <xf numFmtId="0" fontId="41" fillId="0" borderId="37" xfId="0" applyFont="1" applyBorder="1" applyAlignment="1" applyProtection="1">
      <alignment horizontal="center" vertical="center" wrapText="1"/>
    </xf>
    <xf numFmtId="0" fontId="41" fillId="0" borderId="38" xfId="0" applyFont="1" applyBorder="1" applyAlignment="1" applyProtection="1">
      <alignment horizontal="center" vertical="center" wrapText="1"/>
    </xf>
    <xf numFmtId="0" fontId="41" fillId="0" borderId="39" xfId="0" applyFont="1" applyBorder="1" applyAlignment="1" applyProtection="1">
      <alignment horizontal="center" vertical="center" wrapText="1"/>
    </xf>
    <xf numFmtId="0" fontId="41" fillId="0" borderId="40" xfId="0" applyFont="1" applyBorder="1" applyAlignment="1" applyProtection="1">
      <alignment horizontal="center" vertical="center" wrapText="1"/>
    </xf>
    <xf numFmtId="0" fontId="40" fillId="0" borderId="29" xfId="0" applyFont="1" applyBorder="1" applyAlignment="1" applyProtection="1">
      <alignment horizontal="center" vertical="center" wrapText="1"/>
    </xf>
    <xf numFmtId="0" fontId="40" fillId="0" borderId="30" xfId="0" applyFont="1" applyBorder="1" applyAlignment="1" applyProtection="1">
      <alignment horizontal="center" vertical="center" wrapText="1"/>
    </xf>
    <xf numFmtId="0" fontId="40" fillId="0" borderId="31" xfId="0" applyFont="1" applyBorder="1" applyAlignment="1" applyProtection="1">
      <alignment horizontal="center" vertical="center" wrapText="1"/>
    </xf>
    <xf numFmtId="0" fontId="40" fillId="0" borderId="32" xfId="0" applyFont="1" applyBorder="1" applyAlignment="1" applyProtection="1">
      <alignment horizontal="center" vertical="center" wrapText="1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12" fillId="23" borderId="0" xfId="0" applyFont="1" applyFill="1" applyAlignment="1">
      <alignment horizontal="center" vertical="center" wrapText="1"/>
    </xf>
    <xf numFmtId="0" fontId="39" fillId="25" borderId="24" xfId="0" applyFont="1" applyFill="1" applyBorder="1" applyAlignment="1">
      <alignment horizontal="center" vertical="center"/>
    </xf>
    <xf numFmtId="0" fontId="39" fillId="25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31" fillId="0" borderId="0" xfId="0" applyFont="1" applyAlignment="1">
      <alignment horizontal="left" vertical="center"/>
    </xf>
    <xf numFmtId="166" fontId="13" fillId="0" borderId="0" xfId="0" applyNumberFormat="1" applyFont="1"/>
    <xf numFmtId="166" fontId="13" fillId="0" borderId="0" xfId="0" applyNumberFormat="1" applyFont="1" applyFill="1"/>
    <xf numFmtId="166" fontId="13" fillId="8" borderId="0" xfId="0" applyNumberFormat="1" applyFont="1" applyFill="1" applyProtection="1">
      <protection locked="0"/>
    </xf>
    <xf numFmtId="166" fontId="5" fillId="9" borderId="0" xfId="0" applyNumberFormat="1" applyFont="1" applyFill="1" applyProtection="1">
      <protection locked="0"/>
    </xf>
    <xf numFmtId="166" fontId="5" fillId="3" borderId="0" xfId="0" applyNumberFormat="1" applyFont="1" applyFill="1" applyProtection="1">
      <protection locked="0"/>
    </xf>
    <xf numFmtId="166" fontId="5" fillId="0" borderId="0" xfId="0" applyNumberFormat="1" applyFont="1" applyProtection="1">
      <protection locked="0"/>
    </xf>
    <xf numFmtId="166" fontId="5" fillId="0" borderId="0" xfId="0" applyNumberFormat="1" applyFont="1" applyFill="1"/>
    <xf numFmtId="166" fontId="7" fillId="11" borderId="8" xfId="0" applyNumberFormat="1" applyFont="1" applyFill="1" applyBorder="1"/>
    <xf numFmtId="166" fontId="7" fillId="11" borderId="11" xfId="0" applyNumberFormat="1" applyFont="1" applyFill="1" applyBorder="1"/>
    <xf numFmtId="166" fontId="12" fillId="11" borderId="14" xfId="0" applyNumberFormat="1" applyFont="1" applyFill="1" applyBorder="1"/>
    <xf numFmtId="166" fontId="7" fillId="10" borderId="9" xfId="0" applyNumberFormat="1" applyFont="1" applyFill="1" applyBorder="1"/>
    <xf numFmtId="166" fontId="7" fillId="10" borderId="12" xfId="0" applyNumberFormat="1" applyFont="1" applyFill="1" applyBorder="1"/>
    <xf numFmtId="166" fontId="12" fillId="10" borderId="15" xfId="0" applyNumberFormat="1" applyFont="1" applyFill="1" applyBorder="1"/>
    <xf numFmtId="166" fontId="21" fillId="10" borderId="7" xfId="0" applyNumberFormat="1" applyFont="1" applyFill="1" applyBorder="1"/>
    <xf numFmtId="166" fontId="21" fillId="10" borderId="10" xfId="0" applyNumberFormat="1" applyFont="1" applyFill="1" applyBorder="1"/>
    <xf numFmtId="166" fontId="12" fillId="10" borderId="13" xfId="0" applyNumberFormat="1" applyFont="1" applyFill="1" applyBorder="1"/>
    <xf numFmtId="166" fontId="21" fillId="11" borderId="8" xfId="0" applyNumberFormat="1" applyFont="1" applyFill="1" applyBorder="1"/>
    <xf numFmtId="166" fontId="21" fillId="11" borderId="11" xfId="0" applyNumberFormat="1" applyFont="1" applyFill="1" applyBorder="1"/>
  </cellXfs>
  <cellStyles count="3">
    <cellStyle name="Normal" xfId="0" builtinId="0"/>
    <cellStyle name="Normal 2" xfId="2"/>
    <cellStyle name="Título" xfId="1" builtinId="15"/>
  </cellStyles>
  <dxfs count="0"/>
  <tableStyles count="0" defaultTableStyle="TableStyleMedium9" defaultPivotStyle="PivotStyleLight16"/>
  <colors>
    <mruColors>
      <color rgb="FFFFFFCC"/>
      <color rgb="FFFFFFF3"/>
      <color rgb="FFFFFFE1"/>
      <color rgb="FFE9FFBD"/>
      <color rgb="FFF1FFD5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view3D>
      <c:rotX val="0"/>
      <c:hPercent val="5"/>
      <c:rotY val="0"/>
      <c:depthPercent val="100"/>
      <c:rAngAx val="1"/>
    </c:view3D>
    <c:floor>
      <c:spPr>
        <a:noFill/>
        <a:ln w="9525">
          <a:noFill/>
        </a:ln>
      </c:spPr>
    </c:floor>
    <c:side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Val val="1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93.195920645305378</c:v>
              </c:pt>
              <c:pt idx="2">
                <c:v>91.399354153729746</c:v>
              </c:pt>
              <c:pt idx="3">
                <c:v>89.950363104612492</c:v>
              </c:pt>
              <c:pt idx="4">
                <c:v>88.37939389410144</c:v>
              </c:pt>
              <c:pt idx="5">
                <c:v>87.102526881094249</c:v>
              </c:pt>
              <c:pt idx="6">
                <c:v>84.128063310699119</c:v>
              </c:pt>
              <c:pt idx="7">
                <c:v>83.796882066595018</c:v>
              </c:pt>
              <c:pt idx="8">
                <c:v>83.414120361951618</c:v>
              </c:pt>
              <c:pt idx="9">
                <c:v>83.38267969397171</c:v>
              </c:pt>
              <c:pt idx="10">
                <c:v>83.208582086466379</c:v>
              </c:pt>
              <c:pt idx="11">
                <c:v>82.748009849434808</c:v>
              </c:pt>
              <c:pt idx="12">
                <c:v>81.212492936429953</c:v>
              </c:pt>
              <c:pt idx="13">
                <c:v>81.150900225536219</c:v>
              </c:pt>
              <c:pt idx="14">
                <c:v>80.922076178825876</c:v>
              </c:pt>
              <c:pt idx="15">
                <c:v>80.856730306133414</c:v>
              </c:pt>
              <c:pt idx="16">
                <c:v>79.341977665300149</c:v>
              </c:pt>
              <c:pt idx="17">
                <c:v>78.356689539324748</c:v>
              </c:pt>
              <c:pt idx="18">
                <c:v>78.152150195483983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73.353091362941129</c:v>
              </c:pt>
              <c:pt idx="26">
                <c:v>71.011127926316007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Val val="1"/>
        </c:dLbls>
        <c:gapWidth val="50"/>
        <c:shape val="cylinder"/>
        <c:axId val="56434688"/>
        <c:axId val="56436224"/>
        <c:axId val="0"/>
      </c:bar3DChart>
      <c:catAx>
        <c:axId val="56434688"/>
        <c:scaling>
          <c:orientation val="maxMin"/>
        </c:scaling>
        <c:delete val="1"/>
        <c:axPos val="l"/>
        <c:tickLblPos val="none"/>
        <c:crossAx val="56436224"/>
        <c:crosses val="autoZero"/>
        <c:auto val="1"/>
        <c:lblAlgn val="ctr"/>
        <c:lblOffset val="100"/>
      </c:catAx>
      <c:valAx>
        <c:axId val="56436224"/>
        <c:scaling>
          <c:orientation val="minMax"/>
          <c:max val="100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6434688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view3D>
      <c:rotX val="0"/>
      <c:hPercent val="5"/>
      <c:rotY val="0"/>
      <c:depthPercent val="100"/>
      <c:rAngAx val="1"/>
    </c:view3D>
    <c:floor>
      <c:spPr>
        <a:noFill/>
        <a:ln w="9525">
          <a:noFill/>
        </a:ln>
      </c:spPr>
    </c:floor>
    <c:side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Val val="1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93.195920645305378</c:v>
              </c:pt>
              <c:pt idx="2">
                <c:v>91.399354153729746</c:v>
              </c:pt>
              <c:pt idx="3">
                <c:v>89.950363104612492</c:v>
              </c:pt>
              <c:pt idx="4">
                <c:v>88.37939389410144</c:v>
              </c:pt>
              <c:pt idx="5">
                <c:v>87.102526881094249</c:v>
              </c:pt>
              <c:pt idx="6">
                <c:v>84.128063310699119</c:v>
              </c:pt>
              <c:pt idx="7">
                <c:v>83.796882066595018</c:v>
              </c:pt>
              <c:pt idx="8">
                <c:v>83.414120361951618</c:v>
              </c:pt>
              <c:pt idx="9">
                <c:v>83.38267969397171</c:v>
              </c:pt>
              <c:pt idx="10">
                <c:v>83.208582086466379</c:v>
              </c:pt>
              <c:pt idx="11">
                <c:v>82.748009849434808</c:v>
              </c:pt>
              <c:pt idx="12">
                <c:v>81.212492936429953</c:v>
              </c:pt>
              <c:pt idx="13">
                <c:v>81.150900225536219</c:v>
              </c:pt>
              <c:pt idx="14">
                <c:v>80.922076178825876</c:v>
              </c:pt>
              <c:pt idx="15">
                <c:v>80.856730306133414</c:v>
              </c:pt>
              <c:pt idx="16">
                <c:v>79.341977665300149</c:v>
              </c:pt>
              <c:pt idx="17">
                <c:v>78.356689539324748</c:v>
              </c:pt>
              <c:pt idx="18">
                <c:v>78.152150195483983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73.353091362941129</c:v>
              </c:pt>
              <c:pt idx="26">
                <c:v>71.011127926316007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Val val="1"/>
        </c:dLbls>
        <c:gapWidth val="50"/>
        <c:shape val="cylinder"/>
        <c:axId val="52954240"/>
        <c:axId val="52955776"/>
        <c:axId val="0"/>
      </c:bar3DChart>
      <c:catAx>
        <c:axId val="52954240"/>
        <c:scaling>
          <c:orientation val="maxMin"/>
        </c:scaling>
        <c:delete val="1"/>
        <c:axPos val="l"/>
        <c:tickLblPos val="none"/>
        <c:crossAx val="52955776"/>
        <c:crosses val="autoZero"/>
        <c:auto val="1"/>
        <c:lblAlgn val="ctr"/>
        <c:lblOffset val="100"/>
      </c:catAx>
      <c:valAx>
        <c:axId val="52955776"/>
        <c:scaling>
          <c:orientation val="minMax"/>
          <c:max val="100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2954240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4173228346456707"/>
          <c:y val="6.3500322160075742E-2"/>
          <c:w val="0.80314960629921328"/>
          <c:h val="0.90604118204010564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</c:spPr>
          <c:dPt>
            <c:idx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3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4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5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6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7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8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9"/>
            <c:spPr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datos1!$A$5:$A$15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Tapachula</c:v>
                </c:pt>
                <c:pt idx="6">
                  <c:v>Ocosingo</c:v>
                </c:pt>
                <c:pt idx="7">
                  <c:v>Motozintla</c:v>
                </c:pt>
                <c:pt idx="8">
                  <c:v>Comitán</c:v>
                </c:pt>
                <c:pt idx="9">
                  <c:v>Tonalá</c:v>
                </c:pt>
                <c:pt idx="10">
                  <c:v>Estatal</c:v>
                </c:pt>
              </c:strCache>
            </c:strRef>
          </c:cat>
          <c:val>
            <c:numRef>
              <c:f>Global!$H$8:$H$18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91.820254651642614</c:v>
                </c:pt>
                <c:pt idx="9">
                  <c:v>58.341709956248501</c:v>
                </c:pt>
                <c:pt idx="10">
                  <c:v>0</c:v>
                </c:pt>
              </c:numCache>
            </c:numRef>
          </c:val>
        </c:ser>
        <c:dLbls/>
        <c:gapWidth val="50"/>
        <c:axId val="57884672"/>
        <c:axId val="57886208"/>
      </c:barChart>
      <c:catAx>
        <c:axId val="57884672"/>
        <c:scaling>
          <c:orientation val="maxMin"/>
        </c:scaling>
        <c:axPos val="l"/>
        <c:numFmt formatCode="#,##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7886208"/>
        <c:crosses val="autoZero"/>
        <c:auto val="1"/>
        <c:lblAlgn val="ctr"/>
        <c:lblOffset val="100"/>
        <c:tickLblSkip val="1"/>
        <c:tickMarkSkip val="1"/>
      </c:catAx>
      <c:valAx>
        <c:axId val="57886208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7884672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605723370429251"/>
          <c:y val="0.10161662817551977"/>
          <c:w val="0.82352941176470584"/>
          <c:h val="0.8314087759815243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Tapachula</c:v>
                </c:pt>
                <c:pt idx="6">
                  <c:v>Ocosingo</c:v>
                </c:pt>
                <c:pt idx="7">
                  <c:v>Motozintla</c:v>
                </c:pt>
                <c:pt idx="8">
                  <c:v>Comitán</c:v>
                </c:pt>
                <c:pt idx="9">
                  <c:v>Tonalá</c:v>
                </c:pt>
                <c:pt idx="10">
                  <c:v>Estatal</c:v>
                </c:pt>
              </c:strCache>
            </c:strRef>
          </c:cat>
          <c:val>
            <c:numRef>
              <c:f>Desglo2!$H$7:$H$17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50</c:v>
                </c:pt>
                <c:pt idx="10">
                  <c:v>0</c:v>
                </c:pt>
              </c:numCache>
            </c:numRef>
          </c:val>
        </c:ser>
        <c:dLbls/>
        <c:gapWidth val="50"/>
        <c:axId val="58103296"/>
        <c:axId val="58104832"/>
      </c:barChart>
      <c:catAx>
        <c:axId val="58103296"/>
        <c:scaling>
          <c:orientation val="maxMin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104832"/>
        <c:crosses val="autoZero"/>
        <c:auto val="1"/>
        <c:lblAlgn val="ctr"/>
        <c:lblOffset val="100"/>
        <c:tickLblSkip val="1"/>
        <c:tickMarkSkip val="1"/>
      </c:catAx>
      <c:valAx>
        <c:axId val="58104832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103296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568938193343899"/>
          <c:y val="0.10273972602739725"/>
          <c:w val="0.82408874801901744"/>
          <c:h val="0.8287671232876712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datos3!$C$5:$C$15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Villaflores</c:v>
                </c:pt>
                <c:pt idx="3">
                  <c:v>Pichucalco</c:v>
                </c:pt>
                <c:pt idx="4">
                  <c:v>Palenque</c:v>
                </c:pt>
                <c:pt idx="5">
                  <c:v>Tapachula</c:v>
                </c:pt>
                <c:pt idx="6">
                  <c:v>Ocosingo</c:v>
                </c:pt>
                <c:pt idx="7">
                  <c:v>Motozintla</c:v>
                </c:pt>
                <c:pt idx="8">
                  <c:v>Comitán</c:v>
                </c:pt>
                <c:pt idx="9">
                  <c:v>Tonalá</c:v>
                </c:pt>
                <c:pt idx="10">
                  <c:v>Estatal</c:v>
                </c:pt>
              </c:strCache>
            </c:strRef>
          </c:cat>
          <c:val>
            <c:numRef>
              <c:f>Desglo2!$H$30:$H$40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0</c:v>
                </c:pt>
              </c:numCache>
            </c:numRef>
          </c:val>
        </c:ser>
        <c:dLbls/>
        <c:gapWidth val="50"/>
        <c:axId val="58245120"/>
        <c:axId val="58246656"/>
      </c:barChart>
      <c:catAx>
        <c:axId val="58245120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246656"/>
        <c:crosses val="autoZero"/>
        <c:auto val="1"/>
        <c:lblAlgn val="ctr"/>
        <c:lblOffset val="100"/>
        <c:tickLblSkip val="1"/>
        <c:tickMarkSkip val="1"/>
      </c:catAx>
      <c:valAx>
        <c:axId val="58246656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245120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/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datos3!$E$5:$E$15</c:f>
              <c:strCache>
                <c:ptCount val="11"/>
                <c:pt idx="0">
                  <c:v>San Cristóbal</c:v>
                </c:pt>
                <c:pt idx="1">
                  <c:v>Villaflores</c:v>
                </c:pt>
                <c:pt idx="2">
                  <c:v>Pichucalco</c:v>
                </c:pt>
                <c:pt idx="3">
                  <c:v>Palenque</c:v>
                </c:pt>
                <c:pt idx="4">
                  <c:v>Ocosingo</c:v>
                </c:pt>
                <c:pt idx="5">
                  <c:v>Motozintla</c:v>
                </c:pt>
                <c:pt idx="6">
                  <c:v>Tuxtla</c:v>
                </c:pt>
                <c:pt idx="7">
                  <c:v>Tapachula</c:v>
                </c:pt>
                <c:pt idx="8">
                  <c:v>Comitán</c:v>
                </c:pt>
                <c:pt idx="9">
                  <c:v>Tonalá</c:v>
                </c:pt>
                <c:pt idx="10">
                  <c:v>Estatal</c:v>
                </c:pt>
              </c:strCache>
            </c:strRef>
          </c:cat>
          <c:val>
            <c:numRef>
              <c:f>Desglo3!$H$7:$H$17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80</c:v>
                </c:pt>
                <c:pt idx="9">
                  <c:v>40</c:v>
                </c:pt>
                <c:pt idx="10">
                  <c:v>0</c:v>
                </c:pt>
              </c:numCache>
            </c:numRef>
          </c:val>
        </c:ser>
        <c:dLbls/>
        <c:gapWidth val="50"/>
        <c:axId val="58585088"/>
        <c:axId val="58586624"/>
      </c:barChart>
      <c:catAx>
        <c:axId val="58585088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586624"/>
        <c:crosses val="autoZero"/>
        <c:auto val="1"/>
        <c:lblAlgn val="ctr"/>
        <c:lblOffset val="100"/>
        <c:tickLblSkip val="1"/>
        <c:tickMarkSkip val="1"/>
      </c:catAx>
      <c:valAx>
        <c:axId val="58586624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585088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532385466034749"/>
          <c:y val="0.10044642857142859"/>
          <c:w val="0.82780410742496069"/>
          <c:h val="0.83482142857142916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datos3!$G$5:$G$15</c:f>
              <c:strCache>
                <c:ptCount val="11"/>
                <c:pt idx="0">
                  <c:v>San Cristóbal</c:v>
                </c:pt>
                <c:pt idx="1">
                  <c:v>Villaflores</c:v>
                </c:pt>
                <c:pt idx="2">
                  <c:v>Pichucalco</c:v>
                </c:pt>
                <c:pt idx="3">
                  <c:v>Palenque</c:v>
                </c:pt>
                <c:pt idx="4">
                  <c:v>Ocosingo</c:v>
                </c:pt>
                <c:pt idx="5">
                  <c:v>Motozintla</c:v>
                </c:pt>
                <c:pt idx="6">
                  <c:v>Tuxtla</c:v>
                </c:pt>
                <c:pt idx="7">
                  <c:v>Tapachula</c:v>
                </c:pt>
                <c:pt idx="8">
                  <c:v>Comitán</c:v>
                </c:pt>
                <c:pt idx="9">
                  <c:v>Tonalá</c:v>
                </c:pt>
                <c:pt idx="10">
                  <c:v>Estatal</c:v>
                </c:pt>
              </c:strCache>
            </c:strRef>
          </c:cat>
          <c:val>
            <c:numRef>
              <c:f>Desglo3!$H$30:$H$40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88.888888888888886</c:v>
                </c:pt>
                <c:pt idx="9">
                  <c:v>53.846153846153847</c:v>
                </c:pt>
                <c:pt idx="10">
                  <c:v>0</c:v>
                </c:pt>
              </c:numCache>
            </c:numRef>
          </c:val>
        </c:ser>
        <c:dLbls/>
        <c:gapWidth val="50"/>
        <c:axId val="58194176"/>
        <c:axId val="58601472"/>
      </c:barChart>
      <c:catAx>
        <c:axId val="58194176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601472"/>
        <c:crosses val="autoZero"/>
        <c:auto val="1"/>
        <c:lblAlgn val="ctr"/>
        <c:lblOffset val="100"/>
        <c:tickLblSkip val="1"/>
        <c:tickMarkSkip val="1"/>
      </c:catAx>
      <c:valAx>
        <c:axId val="58601472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194176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34020618556701"/>
          <c:y val="0.10705621544303028"/>
          <c:w val="0.81958762886597936"/>
          <c:h val="0.8832137774049985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</c:spPr>
          <c:val>
            <c:numRef>
              <c:f>Comparativo!$L$11:$L$21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58644736"/>
        <c:axId val="58650624"/>
      </c:barChart>
      <c:catAx>
        <c:axId val="58644736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650624"/>
        <c:crosses val="autoZero"/>
        <c:lblAlgn val="ctr"/>
        <c:lblOffset val="100"/>
        <c:tickLblSkip val="1"/>
        <c:tickMarkSkip val="1"/>
      </c:catAx>
      <c:valAx>
        <c:axId val="58650624"/>
        <c:scaling>
          <c:orientation val="minMax"/>
          <c:max val="100"/>
          <c:min val="-10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644736"/>
        <c:crosses val="autoZero"/>
        <c:crossBetween val="between"/>
        <c:majorUnit val="5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.5" footer="0.5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7.9038065929935716E-2"/>
          <c:y val="0.10000021701435986"/>
          <c:w val="0.81099928519412234"/>
          <c:h val="0.80666841724917004"/>
        </c:manualLayout>
      </c:layout>
      <c:barChart>
        <c:barDir val="bar"/>
        <c:grouping val="clustered"/>
        <c:ser>
          <c:idx val="0"/>
          <c:order val="0"/>
          <c:tx>
            <c:strRef>
              <c:f>Comparativo!$C$10</c:f>
              <c:strCache>
                <c:ptCount val="1"/>
                <c:pt idx="0">
                  <c:v>1er. Semestre 2013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dPt>
            <c:idx val="0"/>
          </c:dPt>
          <c:val>
            <c:numRef>
              <c:f>Comparativo!$C$11:$C$21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91.820254651642614</c:v>
                </c:pt>
                <c:pt idx="9">
                  <c:v>58.341709956248501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Comparativo!$B$10</c:f>
              <c:strCache>
                <c:ptCount val="1"/>
                <c:pt idx="0">
                  <c:v>1er. Semestre 2012</c:v>
                </c:pt>
              </c:strCache>
            </c:strRef>
          </c:tx>
          <c:spPr>
            <a:solidFill>
              <a:srgbClr val="C0000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val>
            <c:numRef>
              <c:f>Comparativo!$B$11:$B$21</c:f>
              <c:numCache>
                <c:formatCode>0.0</c:formatCode>
                <c:ptCount val="11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58687872"/>
        <c:axId val="58689408"/>
      </c:barChart>
      <c:catAx>
        <c:axId val="58687872"/>
        <c:scaling>
          <c:orientation val="maxMin"/>
        </c:scaling>
        <c:axPos val="l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689408"/>
        <c:crosses val="autoZero"/>
        <c:lblAlgn val="ctr"/>
        <c:lblOffset val="100"/>
        <c:tickLblSkip val="1"/>
        <c:tickMarkSkip val="1"/>
      </c:catAx>
      <c:valAx>
        <c:axId val="58689408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687872"/>
        <c:crosses val="autoZero"/>
        <c:crossBetween val="between"/>
        <c:majorUnit val="20"/>
        <c:minorUnit val="5"/>
      </c:valAx>
      <c:spPr>
        <a:solidFill>
          <a:schemeClr val="bg1">
            <a:lumMod val="9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08486439195111E-2"/>
          <c:y val="0.92666876640420004"/>
          <c:w val="0.78985686789151377"/>
          <c:h val="5.629629629629598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'Vel2'!$H$11:$H$21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58724352"/>
        <c:axId val="58725888"/>
      </c:barChart>
      <c:catAx>
        <c:axId val="58724352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725888"/>
        <c:crosses val="autoZero"/>
        <c:lblAlgn val="ctr"/>
        <c:lblOffset val="100"/>
        <c:tickLblSkip val="1"/>
        <c:tickMarkSkip val="1"/>
      </c:catAx>
      <c:valAx>
        <c:axId val="58725888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724352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41954370150086"/>
          <c:w val="0.94225211569603029"/>
          <c:h val="0.87549835044839996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'Vel2'!$H$32:$H$42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58761984"/>
        <c:axId val="58763520"/>
      </c:barChart>
      <c:catAx>
        <c:axId val="58761984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763520"/>
        <c:crosses val="autoZero"/>
        <c:lblAlgn val="ctr"/>
        <c:lblOffset val="100"/>
        <c:tickLblSkip val="1"/>
        <c:tickMarkSkip val="1"/>
      </c:catAx>
      <c:valAx>
        <c:axId val="58763520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8761984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'Vel3'!$H$11:$H$21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6.666666666666667</c:v>
                </c:pt>
                <c:pt idx="9">
                  <c:v>3.3333333333333335</c:v>
                </c:pt>
                <c:pt idx="10">
                  <c:v>0</c:v>
                </c:pt>
              </c:numCache>
            </c:numRef>
          </c:val>
        </c:ser>
        <c:dLbls/>
        <c:gapWidth val="60"/>
        <c:axId val="52852608"/>
        <c:axId val="52854144"/>
      </c:barChart>
      <c:catAx>
        <c:axId val="52852608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2854144"/>
        <c:crosses val="autoZero"/>
        <c:lblAlgn val="ctr"/>
        <c:lblOffset val="100"/>
        <c:tickLblSkip val="1"/>
        <c:tickMarkSkip val="1"/>
      </c:catAx>
      <c:valAx>
        <c:axId val="52854144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285260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656947727869788E-2"/>
          <c:y val="0.11455847255369929"/>
          <c:w val="0.94142369319674279"/>
          <c:h val="0.87589498806682575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'Vel3'!$H$32:$H$42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-0.92592592592592615</c:v>
                </c:pt>
                <c:pt idx="9">
                  <c:v>-2.3580586080586077</c:v>
                </c:pt>
                <c:pt idx="10">
                  <c:v>0</c:v>
                </c:pt>
              </c:numCache>
            </c:numRef>
          </c:val>
        </c:ser>
        <c:dLbls/>
        <c:gapWidth val="60"/>
        <c:axId val="59128448"/>
        <c:axId val="59142528"/>
      </c:barChart>
      <c:catAx>
        <c:axId val="59128448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9142528"/>
        <c:crosses val="autoZero"/>
        <c:lblAlgn val="ctr"/>
        <c:lblOffset val="100"/>
        <c:tickLblSkip val="1"/>
        <c:tickMarkSkip val="1"/>
      </c:catAx>
      <c:valAx>
        <c:axId val="59142528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912844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30</xdr:row>
      <xdr:rowOff>9525</xdr:rowOff>
    </xdr:from>
    <xdr:to>
      <xdr:col>2</xdr:col>
      <xdr:colOff>447675</xdr:colOff>
      <xdr:row>31</xdr:row>
      <xdr:rowOff>9525</xdr:rowOff>
    </xdr:to>
    <xdr:pic macro="[0]!LEPRA">
      <xdr:nvPicPr>
        <xdr:cNvPr id="1055" name="Picture 1" descr="Presione  para iniciar el proces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52550" y="7753350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11</xdr:row>
      <xdr:rowOff>95250</xdr:rowOff>
    </xdr:from>
    <xdr:to>
      <xdr:col>8</xdr:col>
      <xdr:colOff>657225</xdr:colOff>
      <xdr:row>15</xdr:row>
      <xdr:rowOff>47625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8575" y="1876425"/>
          <a:ext cx="8839200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l" rtl="0">
            <a:defRPr sz="1000"/>
          </a:pP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  <a:cs typeface="Arial"/>
            </a:rPr>
            <a:t>Caminando a la Excelencia</a:t>
          </a: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</a:rPr>
            <a:t>  </a:t>
          </a:r>
          <a:r>
            <a:rPr lang="es-ES" sz="900" b="1" i="0" u="none" strike="noStrike" cap="none" spc="150" baseline="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 </a:t>
          </a:r>
          <a:r>
            <a:rPr lang="es-ES" sz="1500" b="1" i="0" u="none" strike="noStrike" cap="none" spc="150" baseline="0">
              <a:ln w="11430"/>
              <a:solidFill>
                <a:srgbClr val="C00000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Informe:  1er. Semestre 2013</a:t>
          </a:r>
        </a:p>
      </xdr:txBody>
    </xdr:sp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904875</xdr:colOff>
      <xdr:row>0</xdr:row>
      <xdr:rowOff>38100</xdr:rowOff>
    </xdr:from>
    <xdr:to>
      <xdr:col>7</xdr:col>
      <xdr:colOff>619125</xdr:colOff>
      <xdr:row>7</xdr:row>
      <xdr:rowOff>66675</xdr:rowOff>
    </xdr:to>
    <xdr:sp macro="" textlink="">
      <xdr:nvSpPr>
        <xdr:cNvPr id="2066" name="Text Box 18"/>
        <xdr:cNvSpPr txBox="1">
          <a:spLocks noChangeArrowheads="1"/>
        </xdr:cNvSpPr>
      </xdr:nvSpPr>
      <xdr:spPr bwMode="auto">
        <a:xfrm>
          <a:off x="1323975" y="38100"/>
          <a:ext cx="556260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rgbClr val="800000"/>
              </a:solidFill>
              <a:latin typeface="+mn-lt"/>
              <a:cs typeface="Times New Roman"/>
            </a:rPr>
            <a:t>Evaluación Integral de las Jurisdicciones Sanitarias a través de los resultados de los Programas de Acción, utilizando la metodología vectorial</a:t>
          </a:r>
        </a:p>
      </xdr:txBody>
    </xdr:sp>
    <xdr:clientData/>
  </xdr:twoCellAnchor>
  <xdr:twoCellAnchor>
    <xdr:from>
      <xdr:col>7</xdr:col>
      <xdr:colOff>628651</xdr:colOff>
      <xdr:row>0</xdr:row>
      <xdr:rowOff>66675</xdr:rowOff>
    </xdr:from>
    <xdr:to>
      <xdr:col>8</xdr:col>
      <xdr:colOff>666751</xdr:colOff>
      <xdr:row>5</xdr:row>
      <xdr:rowOff>76200</xdr:rowOff>
    </xdr:to>
    <xdr:pic>
      <xdr:nvPicPr>
        <xdr:cNvPr id="2507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883" r="21666" b="39346"/>
        <a:stretch>
          <a:fillRect/>
        </a:stretch>
      </xdr:blipFill>
      <xdr:spPr bwMode="auto">
        <a:xfrm>
          <a:off x="6896101" y="66675"/>
          <a:ext cx="1085850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0</xdr:row>
      <xdr:rowOff>57150</xdr:rowOff>
    </xdr:from>
    <xdr:to>
      <xdr:col>1</xdr:col>
      <xdr:colOff>866775</xdr:colOff>
      <xdr:row>4</xdr:row>
      <xdr:rowOff>38100</xdr:rowOff>
    </xdr:to>
    <xdr:pic>
      <xdr:nvPicPr>
        <xdr:cNvPr id="2508" name="Picture 21" descr="escudo nuevo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675" y="57150"/>
          <a:ext cx="12192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19050</xdr:colOff>
      <xdr:row>5</xdr:row>
      <xdr:rowOff>123825</xdr:rowOff>
    </xdr:from>
    <xdr:to>
      <xdr:col>8</xdr:col>
      <xdr:colOff>609600</xdr:colOff>
      <xdr:row>10</xdr:row>
      <xdr:rowOff>114300</xdr:rowOff>
    </xdr:to>
    <xdr:sp macro="" textlink="">
      <xdr:nvSpPr>
        <xdr:cNvPr id="19" name="18 CuadroTexto"/>
        <xdr:cNvSpPr txBox="1"/>
      </xdr:nvSpPr>
      <xdr:spPr>
        <a:xfrm>
          <a:off x="19050" y="933450"/>
          <a:ext cx="880110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MX" sz="40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L</a:t>
          </a:r>
          <a:r>
            <a:rPr lang="es-MX" sz="40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 E  P  R  A</a:t>
          </a:r>
          <a:endParaRPr lang="es-MX" sz="400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47625</xdr:rowOff>
    </xdr:from>
    <xdr:to>
      <xdr:col>7</xdr:col>
      <xdr:colOff>542925</xdr:colOff>
      <xdr:row>19</xdr:row>
      <xdr:rowOff>28575</xdr:rowOff>
    </xdr:to>
    <xdr:graphicFrame macro="">
      <xdr:nvGraphicFramePr>
        <xdr:cNvPr id="31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7</xdr:col>
      <xdr:colOff>619125</xdr:colOff>
      <xdr:row>3</xdr:row>
      <xdr:rowOff>0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19050" y="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 Black"/>
            </a:rPr>
            <a:t>Evaluación Jurisdiccional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38100</xdr:rowOff>
    </xdr:from>
    <xdr:to>
      <xdr:col>7</xdr:col>
      <xdr:colOff>504825</xdr:colOff>
      <xdr:row>18</xdr:row>
      <xdr:rowOff>76200</xdr:rowOff>
    </xdr:to>
    <xdr:graphicFrame macro="">
      <xdr:nvGraphicFramePr>
        <xdr:cNvPr id="8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8194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8195" name="Text Box 3"/>
        <xdr:cNvSpPr txBox="1">
          <a:spLocks noChangeArrowheads="1"/>
        </xdr:cNvSpPr>
      </xdr:nvSpPr>
      <xdr:spPr bwMode="auto">
        <a:xfrm>
          <a:off x="28575" y="539115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0</xdr:colOff>
      <xdr:row>26</xdr:row>
      <xdr:rowOff>85725</xdr:rowOff>
    </xdr:from>
    <xdr:to>
      <xdr:col>7</xdr:col>
      <xdr:colOff>523875</xdr:colOff>
      <xdr:row>41</xdr:row>
      <xdr:rowOff>0</xdr:rowOff>
    </xdr:to>
    <xdr:graphicFrame macro="">
      <xdr:nvGraphicFramePr>
        <xdr:cNvPr id="830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114300</xdr:rowOff>
    </xdr:from>
    <xdr:to>
      <xdr:col>7</xdr:col>
      <xdr:colOff>504825</xdr:colOff>
      <xdr:row>18</xdr:row>
      <xdr:rowOff>38100</xdr:rowOff>
    </xdr:to>
    <xdr:graphicFrame macro="">
      <xdr:nvGraphicFramePr>
        <xdr:cNvPr id="113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1266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11267" name="Text Box 3"/>
        <xdr:cNvSpPr txBox="1">
          <a:spLocks noChangeArrowheads="1"/>
        </xdr:cNvSpPr>
      </xdr:nvSpPr>
      <xdr:spPr bwMode="auto">
        <a:xfrm>
          <a:off x="28575" y="541020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0</xdr:colOff>
      <xdr:row>25</xdr:row>
      <xdr:rowOff>142875</xdr:rowOff>
    </xdr:from>
    <xdr:to>
      <xdr:col>7</xdr:col>
      <xdr:colOff>542925</xdr:colOff>
      <xdr:row>41</xdr:row>
      <xdr:rowOff>114300</xdr:rowOff>
    </xdr:to>
    <xdr:graphicFrame macro="">
      <xdr:nvGraphicFramePr>
        <xdr:cNvPr id="1137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619125</xdr:colOff>
      <xdr:row>9</xdr:row>
      <xdr:rowOff>19050</xdr:rowOff>
    </xdr:from>
    <xdr:to>
      <xdr:col>10</xdr:col>
      <xdr:colOff>19050</xdr:colOff>
      <xdr:row>21</xdr:row>
      <xdr:rowOff>38100</xdr:rowOff>
    </xdr:to>
    <xdr:graphicFrame macro="">
      <xdr:nvGraphicFramePr>
        <xdr:cNvPr id="134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9</xdr:row>
      <xdr:rowOff>9525</xdr:rowOff>
    </xdr:from>
    <xdr:to>
      <xdr:col>6</xdr:col>
      <xdr:colOff>276225</xdr:colOff>
      <xdr:row>23</xdr:row>
      <xdr:rowOff>76200</xdr:rowOff>
    </xdr:to>
    <xdr:graphicFrame macro="">
      <xdr:nvGraphicFramePr>
        <xdr:cNvPr id="1344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</xdr:colOff>
      <xdr:row>5</xdr:row>
      <xdr:rowOff>0</xdr:rowOff>
    </xdr:from>
    <xdr:to>
      <xdr:col>18</xdr:col>
      <xdr:colOff>0</xdr:colOff>
      <xdr:row>6</xdr:row>
      <xdr:rowOff>57150</xdr:rowOff>
    </xdr:to>
    <xdr:sp macro="" textlink="">
      <xdr:nvSpPr>
        <xdr:cNvPr id="13315" name="Text Box 3"/>
        <xdr:cNvSpPr txBox="1">
          <a:spLocks noChangeArrowheads="1"/>
        </xdr:cNvSpPr>
      </xdr:nvSpPr>
      <xdr:spPr bwMode="auto">
        <a:xfrm>
          <a:off x="3933825" y="809625"/>
          <a:ext cx="54292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Comparación (%)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6</xdr:col>
      <xdr:colOff>9525</xdr:colOff>
      <xdr:row>6</xdr:row>
      <xdr:rowOff>76200</xdr:rowOff>
    </xdr:to>
    <xdr:sp macro="" textlink="">
      <xdr:nvSpPr>
        <xdr:cNvPr id="13316" name="Text Box 4"/>
        <xdr:cNvSpPr txBox="1">
          <a:spLocks noChangeArrowheads="1"/>
        </xdr:cNvSpPr>
      </xdr:nvSpPr>
      <xdr:spPr bwMode="auto">
        <a:xfrm>
          <a:off x="0" y="809625"/>
          <a:ext cx="39147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Desempeño Vectorial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19049</xdr:rowOff>
    </xdr:from>
    <xdr:to>
      <xdr:col>17</xdr:col>
      <xdr:colOff>571500</xdr:colOff>
      <xdr:row>4</xdr:row>
      <xdr:rowOff>19050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9525" y="19049"/>
          <a:ext cx="10239375" cy="647701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3000" b="1" i="0" u="none" strike="noStrike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Arial Black"/>
            </a:rPr>
            <a:t>L e p r 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66675</xdr:rowOff>
    </xdr:from>
    <xdr:to>
      <xdr:col>7</xdr:col>
      <xdr:colOff>609600</xdr:colOff>
      <xdr:row>7</xdr:row>
      <xdr:rowOff>0</xdr:rowOff>
    </xdr:to>
    <xdr:sp macro="" textlink="">
      <xdr:nvSpPr>
        <xdr:cNvPr id="19457" name="Text Box 1"/>
        <xdr:cNvSpPr txBox="1">
          <a:spLocks noChangeArrowheads="1"/>
        </xdr:cNvSpPr>
      </xdr:nvSpPr>
      <xdr:spPr bwMode="auto">
        <a:xfrm>
          <a:off x="19050" y="619125"/>
          <a:ext cx="6076950" cy="58102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85725</xdr:rowOff>
    </xdr:from>
    <xdr:to>
      <xdr:col>7</xdr:col>
      <xdr:colOff>609600</xdr:colOff>
      <xdr:row>28</xdr:row>
      <xdr:rowOff>9525</xdr:rowOff>
    </xdr:to>
    <xdr:sp macro="" textlink="">
      <xdr:nvSpPr>
        <xdr:cNvPr id="19458" name="Text Box 2"/>
        <xdr:cNvSpPr txBox="1">
          <a:spLocks noChangeArrowheads="1"/>
        </xdr:cNvSpPr>
      </xdr:nvSpPr>
      <xdr:spPr bwMode="auto">
        <a:xfrm>
          <a:off x="28575" y="5705475"/>
          <a:ext cx="6067425" cy="5619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1956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28</xdr:row>
      <xdr:rowOff>9525</xdr:rowOff>
    </xdr:from>
    <xdr:to>
      <xdr:col>7</xdr:col>
      <xdr:colOff>371475</xdr:colOff>
      <xdr:row>42</xdr:row>
      <xdr:rowOff>38100</xdr:rowOff>
    </xdr:to>
    <xdr:graphicFrame macro="">
      <xdr:nvGraphicFramePr>
        <xdr:cNvPr id="1956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123825</xdr:rowOff>
    </xdr:from>
    <xdr:to>
      <xdr:col>7</xdr:col>
      <xdr:colOff>609600</xdr:colOff>
      <xdr:row>7</xdr:row>
      <xdr:rowOff>0</xdr:rowOff>
    </xdr:to>
    <xdr:sp macro="" textlink="">
      <xdr:nvSpPr>
        <xdr:cNvPr id="22529" name="Text Box 1"/>
        <xdr:cNvSpPr txBox="1">
          <a:spLocks noChangeArrowheads="1"/>
        </xdr:cNvSpPr>
      </xdr:nvSpPr>
      <xdr:spPr bwMode="auto">
        <a:xfrm>
          <a:off x="19050" y="676275"/>
          <a:ext cx="6076950" cy="5238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114300</xdr:rowOff>
    </xdr:from>
    <xdr:to>
      <xdr:col>7</xdr:col>
      <xdr:colOff>609600</xdr:colOff>
      <xdr:row>28</xdr:row>
      <xdr:rowOff>9525</xdr:rowOff>
    </xdr:to>
    <xdr:sp macro="" textlink="">
      <xdr:nvSpPr>
        <xdr:cNvPr id="22530" name="Text Box 2"/>
        <xdr:cNvSpPr txBox="1">
          <a:spLocks noChangeArrowheads="1"/>
        </xdr:cNvSpPr>
      </xdr:nvSpPr>
      <xdr:spPr bwMode="auto">
        <a:xfrm>
          <a:off x="28575" y="5734050"/>
          <a:ext cx="6067425" cy="533400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226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28</xdr:row>
      <xdr:rowOff>9525</xdr:rowOff>
    </xdr:from>
    <xdr:to>
      <xdr:col>7</xdr:col>
      <xdr:colOff>333375</xdr:colOff>
      <xdr:row>42</xdr:row>
      <xdr:rowOff>28575</xdr:rowOff>
    </xdr:to>
    <xdr:graphicFrame macro="">
      <xdr:nvGraphicFramePr>
        <xdr:cNvPr id="2263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6</xdr:col>
      <xdr:colOff>733425</xdr:colOff>
      <xdr:row>3</xdr:row>
      <xdr:rowOff>123825</xdr:rowOff>
    </xdr:to>
    <xdr:sp macro="" textlink="">
      <xdr:nvSpPr>
        <xdr:cNvPr id="24577" name="Text Box 1"/>
        <xdr:cNvSpPr txBox="1">
          <a:spLocks noChangeArrowheads="1"/>
        </xdr:cNvSpPr>
      </xdr:nvSpPr>
      <xdr:spPr bwMode="auto">
        <a:xfrm>
          <a:off x="0" y="9525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Metodología para el Cálculo:</a:t>
          </a:r>
        </a:p>
      </xdr:txBody>
    </xdr:sp>
    <xdr:clientData/>
  </xdr:twoCellAnchor>
  <xdr:twoCellAnchor>
    <xdr:from>
      <xdr:col>0</xdr:col>
      <xdr:colOff>733426</xdr:colOff>
      <xdr:row>8</xdr:row>
      <xdr:rowOff>66674</xdr:rowOff>
    </xdr:from>
    <xdr:to>
      <xdr:col>6</xdr:col>
      <xdr:colOff>219076</xdr:colOff>
      <xdr:row>27</xdr:row>
      <xdr:rowOff>123824</xdr:rowOff>
    </xdr:to>
    <xdr:sp macro="" textlink="">
      <xdr:nvSpPr>
        <xdr:cNvPr id="24578" name="Text Box 2"/>
        <xdr:cNvSpPr txBox="1">
          <a:spLocks noChangeArrowheads="1"/>
        </xdr:cNvSpPr>
      </xdr:nvSpPr>
      <xdr:spPr bwMode="auto">
        <a:xfrm>
          <a:off x="733426" y="1400174"/>
          <a:ext cx="4057650" cy="3133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Tasa de Prevalencia Puntual:</a:t>
          </a: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Numero de casos en tratamiento entre la población total en el período por 10,000.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Diagnóstico Oportuno: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sin discapacidad entre el total de casos nuevos evaluados y diagnosticados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Calidad en el Diagnóstico: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con Bk + Hp entre el total de casos nuevos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Cobertura de Tratamiento: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con </a:t>
          </a: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PQT</a:t>
          </a: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 entre el total de casos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Examen de Contactos: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Número de contactos examinados entre el total de contactos registrados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41</xdr:row>
      <xdr:rowOff>47625</xdr:rowOff>
    </xdr:from>
    <xdr:to>
      <xdr:col>6</xdr:col>
      <xdr:colOff>733425</xdr:colOff>
      <xdr:row>45</xdr:row>
      <xdr:rowOff>0</xdr:rowOff>
    </xdr:to>
    <xdr:sp macro="" textlink="">
      <xdr:nvSpPr>
        <xdr:cNvPr id="24693" name="Text Box 11"/>
        <xdr:cNvSpPr txBox="1">
          <a:spLocks noChangeArrowheads="1"/>
        </xdr:cNvSpPr>
      </xdr:nvSpPr>
      <xdr:spPr bwMode="auto">
        <a:xfrm>
          <a:off x="0" y="6991350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9525</xdr:colOff>
      <xdr:row>46</xdr:row>
      <xdr:rowOff>0</xdr:rowOff>
    </xdr:from>
    <xdr:to>
      <xdr:col>6</xdr:col>
      <xdr:colOff>742950</xdr:colOff>
      <xdr:row>50</xdr:row>
      <xdr:rowOff>0</xdr:rowOff>
    </xdr:to>
    <xdr:sp macro="" textlink="">
      <xdr:nvSpPr>
        <xdr:cNvPr id="24588" name="Text Box 12"/>
        <xdr:cNvSpPr txBox="1">
          <a:spLocks noChangeArrowheads="1"/>
        </xdr:cNvSpPr>
      </xdr:nvSpPr>
      <xdr:spPr bwMode="auto">
        <a:xfrm>
          <a:off x="9525" y="7686675"/>
          <a:ext cx="5305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Para mayor información sobre este contenido comunicarse a los teléfonos: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(01961) 61-26375; (01961) 61-89250 Ext. 44220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emails: cie.central@gmail.com  cie.desarrollo@gmail.com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4"/>
  <sheetViews>
    <sheetView topLeftCell="F1" workbookViewId="0">
      <selection activeCell="Q13" sqref="Q13"/>
    </sheetView>
  </sheetViews>
  <sheetFormatPr baseColWidth="10" defaultRowHeight="14.25"/>
  <cols>
    <col min="1" max="1" width="21" style="217" customWidth="1"/>
    <col min="2" max="256" width="11.42578125" style="217"/>
    <col min="257" max="257" width="21" style="217" customWidth="1"/>
    <col min="258" max="512" width="11.42578125" style="217"/>
    <col min="513" max="513" width="21" style="217" customWidth="1"/>
    <col min="514" max="768" width="11.42578125" style="217"/>
    <col min="769" max="769" width="21" style="217" customWidth="1"/>
    <col min="770" max="1024" width="11.42578125" style="217"/>
    <col min="1025" max="1025" width="21" style="217" customWidth="1"/>
    <col min="1026" max="1280" width="11.42578125" style="217"/>
    <col min="1281" max="1281" width="21" style="217" customWidth="1"/>
    <col min="1282" max="1536" width="11.42578125" style="217"/>
    <col min="1537" max="1537" width="21" style="217" customWidth="1"/>
    <col min="1538" max="1792" width="11.42578125" style="217"/>
    <col min="1793" max="1793" width="21" style="217" customWidth="1"/>
    <col min="1794" max="2048" width="11.42578125" style="217"/>
    <col min="2049" max="2049" width="21" style="217" customWidth="1"/>
    <col min="2050" max="2304" width="11.42578125" style="217"/>
    <col min="2305" max="2305" width="21" style="217" customWidth="1"/>
    <col min="2306" max="2560" width="11.42578125" style="217"/>
    <col min="2561" max="2561" width="21" style="217" customWidth="1"/>
    <col min="2562" max="2816" width="11.42578125" style="217"/>
    <col min="2817" max="2817" width="21" style="217" customWidth="1"/>
    <col min="2818" max="3072" width="11.42578125" style="217"/>
    <col min="3073" max="3073" width="21" style="217" customWidth="1"/>
    <col min="3074" max="3328" width="11.42578125" style="217"/>
    <col min="3329" max="3329" width="21" style="217" customWidth="1"/>
    <col min="3330" max="3584" width="11.42578125" style="217"/>
    <col min="3585" max="3585" width="21" style="217" customWidth="1"/>
    <col min="3586" max="3840" width="11.42578125" style="217"/>
    <col min="3841" max="3841" width="21" style="217" customWidth="1"/>
    <col min="3842" max="4096" width="11.42578125" style="217"/>
    <col min="4097" max="4097" width="21" style="217" customWidth="1"/>
    <col min="4098" max="4352" width="11.42578125" style="217"/>
    <col min="4353" max="4353" width="21" style="217" customWidth="1"/>
    <col min="4354" max="4608" width="11.42578125" style="217"/>
    <col min="4609" max="4609" width="21" style="217" customWidth="1"/>
    <col min="4610" max="4864" width="11.42578125" style="217"/>
    <col min="4865" max="4865" width="21" style="217" customWidth="1"/>
    <col min="4866" max="5120" width="11.42578125" style="217"/>
    <col min="5121" max="5121" width="21" style="217" customWidth="1"/>
    <col min="5122" max="5376" width="11.42578125" style="217"/>
    <col min="5377" max="5377" width="21" style="217" customWidth="1"/>
    <col min="5378" max="5632" width="11.42578125" style="217"/>
    <col min="5633" max="5633" width="21" style="217" customWidth="1"/>
    <col min="5634" max="5888" width="11.42578125" style="217"/>
    <col min="5889" max="5889" width="21" style="217" customWidth="1"/>
    <col min="5890" max="6144" width="11.42578125" style="217"/>
    <col min="6145" max="6145" width="21" style="217" customWidth="1"/>
    <col min="6146" max="6400" width="11.42578125" style="217"/>
    <col min="6401" max="6401" width="21" style="217" customWidth="1"/>
    <col min="6402" max="6656" width="11.42578125" style="217"/>
    <col min="6657" max="6657" width="21" style="217" customWidth="1"/>
    <col min="6658" max="6912" width="11.42578125" style="217"/>
    <col min="6913" max="6913" width="21" style="217" customWidth="1"/>
    <col min="6914" max="7168" width="11.42578125" style="217"/>
    <col min="7169" max="7169" width="21" style="217" customWidth="1"/>
    <col min="7170" max="7424" width="11.42578125" style="217"/>
    <col min="7425" max="7425" width="21" style="217" customWidth="1"/>
    <col min="7426" max="7680" width="11.42578125" style="217"/>
    <col min="7681" max="7681" width="21" style="217" customWidth="1"/>
    <col min="7682" max="7936" width="11.42578125" style="217"/>
    <col min="7937" max="7937" width="21" style="217" customWidth="1"/>
    <col min="7938" max="8192" width="11.42578125" style="217"/>
    <col min="8193" max="8193" width="21" style="217" customWidth="1"/>
    <col min="8194" max="8448" width="11.42578125" style="217"/>
    <col min="8449" max="8449" width="21" style="217" customWidth="1"/>
    <col min="8450" max="8704" width="11.42578125" style="217"/>
    <col min="8705" max="8705" width="21" style="217" customWidth="1"/>
    <col min="8706" max="8960" width="11.42578125" style="217"/>
    <col min="8961" max="8961" width="21" style="217" customWidth="1"/>
    <col min="8962" max="9216" width="11.42578125" style="217"/>
    <col min="9217" max="9217" width="21" style="217" customWidth="1"/>
    <col min="9218" max="9472" width="11.42578125" style="217"/>
    <col min="9473" max="9473" width="21" style="217" customWidth="1"/>
    <col min="9474" max="9728" width="11.42578125" style="217"/>
    <col min="9729" max="9729" width="21" style="217" customWidth="1"/>
    <col min="9730" max="9984" width="11.42578125" style="217"/>
    <col min="9985" max="9985" width="21" style="217" customWidth="1"/>
    <col min="9986" max="10240" width="11.42578125" style="217"/>
    <col min="10241" max="10241" width="21" style="217" customWidth="1"/>
    <col min="10242" max="10496" width="11.42578125" style="217"/>
    <col min="10497" max="10497" width="21" style="217" customWidth="1"/>
    <col min="10498" max="10752" width="11.42578125" style="217"/>
    <col min="10753" max="10753" width="21" style="217" customWidth="1"/>
    <col min="10754" max="11008" width="11.42578125" style="217"/>
    <col min="11009" max="11009" width="21" style="217" customWidth="1"/>
    <col min="11010" max="11264" width="11.42578125" style="217"/>
    <col min="11265" max="11265" width="21" style="217" customWidth="1"/>
    <col min="11266" max="11520" width="11.42578125" style="217"/>
    <col min="11521" max="11521" width="21" style="217" customWidth="1"/>
    <col min="11522" max="11776" width="11.42578125" style="217"/>
    <col min="11777" max="11777" width="21" style="217" customWidth="1"/>
    <col min="11778" max="12032" width="11.42578125" style="217"/>
    <col min="12033" max="12033" width="21" style="217" customWidth="1"/>
    <col min="12034" max="12288" width="11.42578125" style="217"/>
    <col min="12289" max="12289" width="21" style="217" customWidth="1"/>
    <col min="12290" max="12544" width="11.42578125" style="217"/>
    <col min="12545" max="12545" width="21" style="217" customWidth="1"/>
    <col min="12546" max="12800" width="11.42578125" style="217"/>
    <col min="12801" max="12801" width="21" style="217" customWidth="1"/>
    <col min="12802" max="13056" width="11.42578125" style="217"/>
    <col min="13057" max="13057" width="21" style="217" customWidth="1"/>
    <col min="13058" max="13312" width="11.42578125" style="217"/>
    <col min="13313" max="13313" width="21" style="217" customWidth="1"/>
    <col min="13314" max="13568" width="11.42578125" style="217"/>
    <col min="13569" max="13569" width="21" style="217" customWidth="1"/>
    <col min="13570" max="13824" width="11.42578125" style="217"/>
    <col min="13825" max="13825" width="21" style="217" customWidth="1"/>
    <col min="13826" max="14080" width="11.42578125" style="217"/>
    <col min="14081" max="14081" width="21" style="217" customWidth="1"/>
    <col min="14082" max="14336" width="11.42578125" style="217"/>
    <col min="14337" max="14337" width="21" style="217" customWidth="1"/>
    <col min="14338" max="14592" width="11.42578125" style="217"/>
    <col min="14593" max="14593" width="21" style="217" customWidth="1"/>
    <col min="14594" max="14848" width="11.42578125" style="217"/>
    <col min="14849" max="14849" width="21" style="217" customWidth="1"/>
    <col min="14850" max="15104" width="11.42578125" style="217"/>
    <col min="15105" max="15105" width="21" style="217" customWidth="1"/>
    <col min="15106" max="15360" width="11.42578125" style="217"/>
    <col min="15361" max="15361" width="21" style="217" customWidth="1"/>
    <col min="15362" max="15616" width="11.42578125" style="217"/>
    <col min="15617" max="15617" width="21" style="217" customWidth="1"/>
    <col min="15618" max="15872" width="11.42578125" style="217"/>
    <col min="15873" max="15873" width="21" style="217" customWidth="1"/>
    <col min="15874" max="16128" width="11.42578125" style="217"/>
    <col min="16129" max="16129" width="21" style="217" customWidth="1"/>
    <col min="16130" max="16384" width="11.42578125" style="217"/>
  </cols>
  <sheetData>
    <row r="1" spans="1:17">
      <c r="A1" s="230"/>
      <c r="B1" s="231" t="s">
        <v>78</v>
      </c>
      <c r="C1" s="231"/>
      <c r="D1" s="231"/>
      <c r="E1" s="231"/>
      <c r="F1" s="231"/>
      <c r="G1" s="231"/>
      <c r="H1" s="231"/>
      <c r="I1" s="232"/>
      <c r="J1" s="233" t="s">
        <v>93</v>
      </c>
      <c r="K1" s="234"/>
      <c r="L1" s="234"/>
      <c r="M1" s="234"/>
      <c r="N1" s="234"/>
      <c r="O1" s="234"/>
      <c r="P1" s="235"/>
      <c r="Q1" s="216"/>
    </row>
    <row r="2" spans="1:17" ht="15" customHeight="1">
      <c r="A2" s="230"/>
      <c r="B2" s="236" t="s">
        <v>64</v>
      </c>
      <c r="C2" s="237"/>
      <c r="D2" s="238" t="s">
        <v>65</v>
      </c>
      <c r="E2" s="237"/>
      <c r="F2" s="238" t="s">
        <v>66</v>
      </c>
      <c r="G2" s="237"/>
      <c r="H2" s="238" t="s">
        <v>67</v>
      </c>
      <c r="I2" s="237"/>
      <c r="J2" s="228" t="s">
        <v>64</v>
      </c>
      <c r="K2" s="229"/>
      <c r="L2" s="228" t="s">
        <v>65</v>
      </c>
      <c r="M2" s="229"/>
      <c r="N2" s="228" t="s">
        <v>66</v>
      </c>
      <c r="O2" s="229"/>
      <c r="P2" s="228" t="s">
        <v>67</v>
      </c>
      <c r="Q2" s="229"/>
    </row>
    <row r="3" spans="1:17" ht="56.25">
      <c r="A3" s="230"/>
      <c r="B3" s="218" t="s">
        <v>94</v>
      </c>
      <c r="C3" s="219" t="s">
        <v>95</v>
      </c>
      <c r="D3" s="219" t="s">
        <v>96</v>
      </c>
      <c r="E3" s="219" t="s">
        <v>97</v>
      </c>
      <c r="F3" s="219" t="s">
        <v>98</v>
      </c>
      <c r="G3" s="219" t="s">
        <v>97</v>
      </c>
      <c r="H3" s="219" t="s">
        <v>99</v>
      </c>
      <c r="I3" s="219" t="s">
        <v>100</v>
      </c>
      <c r="J3" s="220" t="s">
        <v>94</v>
      </c>
      <c r="K3" s="220" t="s">
        <v>95</v>
      </c>
      <c r="L3" s="220" t="s">
        <v>96</v>
      </c>
      <c r="M3" s="220" t="s">
        <v>97</v>
      </c>
      <c r="N3" s="220" t="s">
        <v>98</v>
      </c>
      <c r="O3" s="220" t="s">
        <v>97</v>
      </c>
      <c r="P3" s="220" t="s">
        <v>99</v>
      </c>
      <c r="Q3" s="220" t="s">
        <v>100</v>
      </c>
    </row>
    <row r="4" spans="1:17" ht="15">
      <c r="A4" s="221" t="s">
        <v>101</v>
      </c>
      <c r="B4" s="227">
        <v>2</v>
      </c>
      <c r="C4" s="227">
        <v>2</v>
      </c>
      <c r="D4" s="227">
        <v>2</v>
      </c>
      <c r="E4" s="227">
        <v>2</v>
      </c>
      <c r="F4" s="227">
        <v>3</v>
      </c>
      <c r="G4" s="227">
        <v>3</v>
      </c>
      <c r="H4" s="227">
        <v>18</v>
      </c>
      <c r="I4" s="227">
        <v>18</v>
      </c>
      <c r="J4" s="227">
        <v>0</v>
      </c>
      <c r="K4" s="227">
        <v>0</v>
      </c>
      <c r="L4" s="227">
        <v>0</v>
      </c>
      <c r="M4" s="227">
        <v>0</v>
      </c>
      <c r="N4" s="227">
        <v>2</v>
      </c>
      <c r="O4" s="227">
        <v>2</v>
      </c>
      <c r="P4" s="227">
        <v>13</v>
      </c>
      <c r="Q4" s="227">
        <v>13</v>
      </c>
    </row>
    <row r="5" spans="1:17" ht="15">
      <c r="A5" s="221" t="s">
        <v>30</v>
      </c>
      <c r="B5" s="227">
        <v>0</v>
      </c>
      <c r="C5" s="227">
        <v>0</v>
      </c>
      <c r="D5" s="227">
        <v>0</v>
      </c>
      <c r="E5" s="227">
        <v>0</v>
      </c>
      <c r="F5" s="227">
        <v>0</v>
      </c>
      <c r="G5" s="227">
        <v>0</v>
      </c>
      <c r="H5" s="227">
        <v>0</v>
      </c>
      <c r="I5" s="227">
        <v>0</v>
      </c>
      <c r="J5" s="227">
        <v>0</v>
      </c>
      <c r="K5" s="227">
        <v>0</v>
      </c>
      <c r="L5" s="227">
        <v>0</v>
      </c>
      <c r="M5" s="227">
        <v>0</v>
      </c>
      <c r="N5" s="227">
        <v>0</v>
      </c>
      <c r="O5" s="227">
        <v>0</v>
      </c>
      <c r="P5" s="227">
        <v>0</v>
      </c>
      <c r="Q5" s="227">
        <v>0</v>
      </c>
    </row>
    <row r="6" spans="1:17" ht="15">
      <c r="A6" s="221" t="s">
        <v>8</v>
      </c>
      <c r="B6" s="227">
        <v>0</v>
      </c>
      <c r="C6" s="227">
        <v>0</v>
      </c>
      <c r="D6" s="227">
        <v>0</v>
      </c>
      <c r="E6" s="227">
        <v>0</v>
      </c>
      <c r="F6" s="227">
        <v>0</v>
      </c>
      <c r="G6" s="227">
        <v>1</v>
      </c>
      <c r="H6" s="227">
        <v>5</v>
      </c>
      <c r="I6" s="227">
        <v>5</v>
      </c>
      <c r="J6" s="227">
        <v>4</v>
      </c>
      <c r="K6" s="227">
        <v>4</v>
      </c>
      <c r="L6" s="227">
        <v>4</v>
      </c>
      <c r="M6" s="227">
        <v>4</v>
      </c>
      <c r="N6" s="227">
        <v>4</v>
      </c>
      <c r="O6" s="227">
        <v>5</v>
      </c>
      <c r="P6" s="227">
        <v>16</v>
      </c>
      <c r="Q6" s="227">
        <v>18</v>
      </c>
    </row>
    <row r="7" spans="1:17" ht="15">
      <c r="A7" s="221" t="s">
        <v>9</v>
      </c>
      <c r="B7" s="227">
        <v>0</v>
      </c>
      <c r="C7" s="227">
        <v>0</v>
      </c>
      <c r="D7" s="227">
        <v>0</v>
      </c>
      <c r="E7" s="227">
        <v>0</v>
      </c>
      <c r="F7" s="227">
        <v>0</v>
      </c>
      <c r="G7" s="227">
        <v>0</v>
      </c>
      <c r="H7" s="227">
        <v>0</v>
      </c>
      <c r="I7" s="227">
        <v>0</v>
      </c>
      <c r="J7" s="227">
        <v>0</v>
      </c>
      <c r="K7" s="227">
        <v>0</v>
      </c>
      <c r="L7" s="227">
        <v>0</v>
      </c>
      <c r="M7" s="227">
        <v>0</v>
      </c>
      <c r="N7" s="227">
        <v>0</v>
      </c>
      <c r="O7" s="227">
        <v>0</v>
      </c>
      <c r="P7" s="227">
        <v>0</v>
      </c>
      <c r="Q7" s="227">
        <v>0</v>
      </c>
    </row>
    <row r="8" spans="1:17" ht="15">
      <c r="A8" s="221" t="s">
        <v>10</v>
      </c>
      <c r="B8" s="227">
        <v>0</v>
      </c>
      <c r="C8" s="227">
        <v>0</v>
      </c>
      <c r="D8" s="227">
        <v>0</v>
      </c>
      <c r="E8" s="227">
        <v>0</v>
      </c>
      <c r="F8" s="227">
        <v>0</v>
      </c>
      <c r="G8" s="227">
        <v>0</v>
      </c>
      <c r="H8" s="227">
        <v>0</v>
      </c>
      <c r="I8" s="227">
        <v>0</v>
      </c>
      <c r="J8" s="227">
        <v>0</v>
      </c>
      <c r="K8" s="227">
        <v>0</v>
      </c>
      <c r="L8" s="227">
        <v>0</v>
      </c>
      <c r="M8" s="227">
        <v>0</v>
      </c>
      <c r="N8" s="227">
        <v>0</v>
      </c>
      <c r="O8" s="227">
        <v>0</v>
      </c>
      <c r="P8" s="227">
        <v>0</v>
      </c>
      <c r="Q8" s="227">
        <v>0</v>
      </c>
    </row>
    <row r="9" spans="1:17" ht="15">
      <c r="A9" s="221" t="s">
        <v>11</v>
      </c>
      <c r="B9" s="227">
        <v>0</v>
      </c>
      <c r="C9" s="227">
        <v>0</v>
      </c>
      <c r="D9" s="227">
        <v>0</v>
      </c>
      <c r="E9" s="227">
        <v>0</v>
      </c>
      <c r="F9" s="227">
        <v>0</v>
      </c>
      <c r="G9" s="227">
        <v>0</v>
      </c>
      <c r="H9" s="227">
        <v>0</v>
      </c>
      <c r="I9" s="227">
        <v>0</v>
      </c>
      <c r="J9" s="227">
        <v>0</v>
      </c>
      <c r="K9" s="227">
        <v>0</v>
      </c>
      <c r="L9" s="227">
        <v>0</v>
      </c>
      <c r="M9" s="227">
        <v>0</v>
      </c>
      <c r="N9" s="227">
        <v>0</v>
      </c>
      <c r="O9" s="227">
        <v>0</v>
      </c>
      <c r="P9" s="227">
        <v>0</v>
      </c>
      <c r="Q9" s="227">
        <v>0</v>
      </c>
    </row>
    <row r="10" spans="1:17" ht="15">
      <c r="A10" s="221" t="s">
        <v>12</v>
      </c>
      <c r="B10" s="227">
        <v>1</v>
      </c>
      <c r="C10" s="227">
        <v>1</v>
      </c>
      <c r="D10" s="227">
        <v>1</v>
      </c>
      <c r="E10" s="227">
        <v>1</v>
      </c>
      <c r="F10" s="227">
        <v>2</v>
      </c>
      <c r="G10" s="227">
        <v>2</v>
      </c>
      <c r="H10" s="227">
        <v>9</v>
      </c>
      <c r="I10" s="227">
        <v>9</v>
      </c>
      <c r="J10" s="227">
        <v>0</v>
      </c>
      <c r="K10" s="227">
        <v>0</v>
      </c>
      <c r="L10" s="227">
        <v>0</v>
      </c>
      <c r="M10" s="227">
        <v>0</v>
      </c>
      <c r="N10" s="227">
        <v>2</v>
      </c>
      <c r="O10" s="227">
        <v>2</v>
      </c>
      <c r="P10" s="227">
        <v>9</v>
      </c>
      <c r="Q10" s="227">
        <v>9</v>
      </c>
    </row>
    <row r="11" spans="1:17" ht="15">
      <c r="A11" s="221" t="s">
        <v>13</v>
      </c>
      <c r="B11" s="227">
        <v>0</v>
      </c>
      <c r="C11" s="227">
        <v>0</v>
      </c>
      <c r="D11" s="227">
        <v>0</v>
      </c>
      <c r="E11" s="227">
        <v>0</v>
      </c>
      <c r="F11" s="227">
        <v>0</v>
      </c>
      <c r="G11" s="227">
        <v>3</v>
      </c>
      <c r="H11" s="227">
        <v>23</v>
      </c>
      <c r="I11" s="227">
        <v>28</v>
      </c>
      <c r="J11" s="227">
        <v>1</v>
      </c>
      <c r="K11" s="227">
        <v>2</v>
      </c>
      <c r="L11" s="227">
        <v>2</v>
      </c>
      <c r="M11" s="227">
        <v>2</v>
      </c>
      <c r="N11" s="227">
        <v>2</v>
      </c>
      <c r="O11" s="227">
        <v>5</v>
      </c>
      <c r="P11" s="227">
        <v>14</v>
      </c>
      <c r="Q11" s="227">
        <v>26</v>
      </c>
    </row>
    <row r="12" spans="1:17" ht="15">
      <c r="A12" s="221" t="s">
        <v>14</v>
      </c>
      <c r="B12" s="227">
        <v>0</v>
      </c>
      <c r="C12" s="227">
        <v>0</v>
      </c>
      <c r="D12" s="227">
        <v>0</v>
      </c>
      <c r="E12" s="227">
        <v>0</v>
      </c>
      <c r="F12" s="227">
        <v>0</v>
      </c>
      <c r="G12" s="227">
        <v>0</v>
      </c>
      <c r="H12" s="227">
        <v>0</v>
      </c>
      <c r="I12" s="227">
        <v>0</v>
      </c>
      <c r="J12" s="227">
        <v>0</v>
      </c>
      <c r="K12" s="227">
        <v>0</v>
      </c>
      <c r="L12" s="227">
        <v>0</v>
      </c>
      <c r="M12" s="227">
        <v>0</v>
      </c>
      <c r="N12" s="227">
        <v>0</v>
      </c>
      <c r="O12" s="227">
        <v>0</v>
      </c>
      <c r="P12" s="227">
        <v>0</v>
      </c>
      <c r="Q12" s="227">
        <v>0</v>
      </c>
    </row>
    <row r="13" spans="1:17" ht="15">
      <c r="A13" s="221" t="s">
        <v>15</v>
      </c>
      <c r="B13" s="227">
        <v>0</v>
      </c>
      <c r="C13" s="227">
        <v>0</v>
      </c>
      <c r="D13" s="227">
        <v>0</v>
      </c>
      <c r="E13" s="227">
        <v>0</v>
      </c>
      <c r="F13" s="227">
        <v>0</v>
      </c>
      <c r="G13" s="227">
        <v>0</v>
      </c>
      <c r="H13" s="227">
        <v>0</v>
      </c>
      <c r="I13" s="227">
        <v>0</v>
      </c>
      <c r="J13" s="227">
        <v>0</v>
      </c>
      <c r="K13" s="227">
        <v>0</v>
      </c>
      <c r="L13" s="227">
        <v>0</v>
      </c>
      <c r="M13" s="227">
        <v>0</v>
      </c>
      <c r="N13" s="227">
        <v>0</v>
      </c>
      <c r="O13" s="227">
        <v>0</v>
      </c>
      <c r="P13" s="227">
        <v>0</v>
      </c>
      <c r="Q13" s="227">
        <v>0</v>
      </c>
    </row>
    <row r="14" spans="1:17" ht="15">
      <c r="A14" s="221" t="s">
        <v>16</v>
      </c>
      <c r="B14" s="227"/>
      <c r="C14" s="227"/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</row>
  </sheetData>
  <mergeCells count="11">
    <mergeCell ref="P2:Q2"/>
    <mergeCell ref="A1:A3"/>
    <mergeCell ref="B1:I1"/>
    <mergeCell ref="J1:P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14"/>
  <sheetViews>
    <sheetView workbookViewId="0">
      <selection activeCell="B4" sqref="B4"/>
    </sheetView>
  </sheetViews>
  <sheetFormatPr baseColWidth="10" defaultRowHeight="14.25"/>
  <cols>
    <col min="1" max="1" width="23" style="217" customWidth="1"/>
    <col min="2" max="9" width="11.85546875" style="217" customWidth="1"/>
    <col min="10" max="256" width="11.42578125" style="217"/>
    <col min="257" max="257" width="23" style="217" customWidth="1"/>
    <col min="258" max="265" width="11.85546875" style="217" customWidth="1"/>
    <col min="266" max="512" width="11.42578125" style="217"/>
    <col min="513" max="513" width="23" style="217" customWidth="1"/>
    <col min="514" max="521" width="11.85546875" style="217" customWidth="1"/>
    <col min="522" max="768" width="11.42578125" style="217"/>
    <col min="769" max="769" width="23" style="217" customWidth="1"/>
    <col min="770" max="777" width="11.85546875" style="217" customWidth="1"/>
    <col min="778" max="1024" width="11.42578125" style="217"/>
    <col min="1025" max="1025" width="23" style="217" customWidth="1"/>
    <col min="1026" max="1033" width="11.85546875" style="217" customWidth="1"/>
    <col min="1034" max="1280" width="11.42578125" style="217"/>
    <col min="1281" max="1281" width="23" style="217" customWidth="1"/>
    <col min="1282" max="1289" width="11.85546875" style="217" customWidth="1"/>
    <col min="1290" max="1536" width="11.42578125" style="217"/>
    <col min="1537" max="1537" width="23" style="217" customWidth="1"/>
    <col min="1538" max="1545" width="11.85546875" style="217" customWidth="1"/>
    <col min="1546" max="1792" width="11.42578125" style="217"/>
    <col min="1793" max="1793" width="23" style="217" customWidth="1"/>
    <col min="1794" max="1801" width="11.85546875" style="217" customWidth="1"/>
    <col min="1802" max="2048" width="11.42578125" style="217"/>
    <col min="2049" max="2049" width="23" style="217" customWidth="1"/>
    <col min="2050" max="2057" width="11.85546875" style="217" customWidth="1"/>
    <col min="2058" max="2304" width="11.42578125" style="217"/>
    <col min="2305" max="2305" width="23" style="217" customWidth="1"/>
    <col min="2306" max="2313" width="11.85546875" style="217" customWidth="1"/>
    <col min="2314" max="2560" width="11.42578125" style="217"/>
    <col min="2561" max="2561" width="23" style="217" customWidth="1"/>
    <col min="2562" max="2569" width="11.85546875" style="217" customWidth="1"/>
    <col min="2570" max="2816" width="11.42578125" style="217"/>
    <col min="2817" max="2817" width="23" style="217" customWidth="1"/>
    <col min="2818" max="2825" width="11.85546875" style="217" customWidth="1"/>
    <col min="2826" max="3072" width="11.42578125" style="217"/>
    <col min="3073" max="3073" width="23" style="217" customWidth="1"/>
    <col min="3074" max="3081" width="11.85546875" style="217" customWidth="1"/>
    <col min="3082" max="3328" width="11.42578125" style="217"/>
    <col min="3329" max="3329" width="23" style="217" customWidth="1"/>
    <col min="3330" max="3337" width="11.85546875" style="217" customWidth="1"/>
    <col min="3338" max="3584" width="11.42578125" style="217"/>
    <col min="3585" max="3585" width="23" style="217" customWidth="1"/>
    <col min="3586" max="3593" width="11.85546875" style="217" customWidth="1"/>
    <col min="3594" max="3840" width="11.42578125" style="217"/>
    <col min="3841" max="3841" width="23" style="217" customWidth="1"/>
    <col min="3842" max="3849" width="11.85546875" style="217" customWidth="1"/>
    <col min="3850" max="4096" width="11.42578125" style="217"/>
    <col min="4097" max="4097" width="23" style="217" customWidth="1"/>
    <col min="4098" max="4105" width="11.85546875" style="217" customWidth="1"/>
    <col min="4106" max="4352" width="11.42578125" style="217"/>
    <col min="4353" max="4353" width="23" style="217" customWidth="1"/>
    <col min="4354" max="4361" width="11.85546875" style="217" customWidth="1"/>
    <col min="4362" max="4608" width="11.42578125" style="217"/>
    <col min="4609" max="4609" width="23" style="217" customWidth="1"/>
    <col min="4610" max="4617" width="11.85546875" style="217" customWidth="1"/>
    <col min="4618" max="4864" width="11.42578125" style="217"/>
    <col min="4865" max="4865" width="23" style="217" customWidth="1"/>
    <col min="4866" max="4873" width="11.85546875" style="217" customWidth="1"/>
    <col min="4874" max="5120" width="11.42578125" style="217"/>
    <col min="5121" max="5121" width="23" style="217" customWidth="1"/>
    <col min="5122" max="5129" width="11.85546875" style="217" customWidth="1"/>
    <col min="5130" max="5376" width="11.42578125" style="217"/>
    <col min="5377" max="5377" width="23" style="217" customWidth="1"/>
    <col min="5378" max="5385" width="11.85546875" style="217" customWidth="1"/>
    <col min="5386" max="5632" width="11.42578125" style="217"/>
    <col min="5633" max="5633" width="23" style="217" customWidth="1"/>
    <col min="5634" max="5641" width="11.85546875" style="217" customWidth="1"/>
    <col min="5642" max="5888" width="11.42578125" style="217"/>
    <col min="5889" max="5889" width="23" style="217" customWidth="1"/>
    <col min="5890" max="5897" width="11.85546875" style="217" customWidth="1"/>
    <col min="5898" max="6144" width="11.42578125" style="217"/>
    <col min="6145" max="6145" width="23" style="217" customWidth="1"/>
    <col min="6146" max="6153" width="11.85546875" style="217" customWidth="1"/>
    <col min="6154" max="6400" width="11.42578125" style="217"/>
    <col min="6401" max="6401" width="23" style="217" customWidth="1"/>
    <col min="6402" max="6409" width="11.85546875" style="217" customWidth="1"/>
    <col min="6410" max="6656" width="11.42578125" style="217"/>
    <col min="6657" max="6657" width="23" style="217" customWidth="1"/>
    <col min="6658" max="6665" width="11.85546875" style="217" customWidth="1"/>
    <col min="6666" max="6912" width="11.42578125" style="217"/>
    <col min="6913" max="6913" width="23" style="217" customWidth="1"/>
    <col min="6914" max="6921" width="11.85546875" style="217" customWidth="1"/>
    <col min="6922" max="7168" width="11.42578125" style="217"/>
    <col min="7169" max="7169" width="23" style="217" customWidth="1"/>
    <col min="7170" max="7177" width="11.85546875" style="217" customWidth="1"/>
    <col min="7178" max="7424" width="11.42578125" style="217"/>
    <col min="7425" max="7425" width="23" style="217" customWidth="1"/>
    <col min="7426" max="7433" width="11.85546875" style="217" customWidth="1"/>
    <col min="7434" max="7680" width="11.42578125" style="217"/>
    <col min="7681" max="7681" width="23" style="217" customWidth="1"/>
    <col min="7682" max="7689" width="11.85546875" style="217" customWidth="1"/>
    <col min="7690" max="7936" width="11.42578125" style="217"/>
    <col min="7937" max="7937" width="23" style="217" customWidth="1"/>
    <col min="7938" max="7945" width="11.85546875" style="217" customWidth="1"/>
    <col min="7946" max="8192" width="11.42578125" style="217"/>
    <col min="8193" max="8193" width="23" style="217" customWidth="1"/>
    <col min="8194" max="8201" width="11.85546875" style="217" customWidth="1"/>
    <col min="8202" max="8448" width="11.42578125" style="217"/>
    <col min="8449" max="8449" width="23" style="217" customWidth="1"/>
    <col min="8450" max="8457" width="11.85546875" style="217" customWidth="1"/>
    <col min="8458" max="8704" width="11.42578125" style="217"/>
    <col min="8705" max="8705" width="23" style="217" customWidth="1"/>
    <col min="8706" max="8713" width="11.85546875" style="217" customWidth="1"/>
    <col min="8714" max="8960" width="11.42578125" style="217"/>
    <col min="8961" max="8961" width="23" style="217" customWidth="1"/>
    <col min="8962" max="8969" width="11.85546875" style="217" customWidth="1"/>
    <col min="8970" max="9216" width="11.42578125" style="217"/>
    <col min="9217" max="9217" width="23" style="217" customWidth="1"/>
    <col min="9218" max="9225" width="11.85546875" style="217" customWidth="1"/>
    <col min="9226" max="9472" width="11.42578125" style="217"/>
    <col min="9473" max="9473" width="23" style="217" customWidth="1"/>
    <col min="9474" max="9481" width="11.85546875" style="217" customWidth="1"/>
    <col min="9482" max="9728" width="11.42578125" style="217"/>
    <col min="9729" max="9729" width="23" style="217" customWidth="1"/>
    <col min="9730" max="9737" width="11.85546875" style="217" customWidth="1"/>
    <col min="9738" max="9984" width="11.42578125" style="217"/>
    <col min="9985" max="9985" width="23" style="217" customWidth="1"/>
    <col min="9986" max="9993" width="11.85546875" style="217" customWidth="1"/>
    <col min="9994" max="10240" width="11.42578125" style="217"/>
    <col min="10241" max="10241" width="23" style="217" customWidth="1"/>
    <col min="10242" max="10249" width="11.85546875" style="217" customWidth="1"/>
    <col min="10250" max="10496" width="11.42578125" style="217"/>
    <col min="10497" max="10497" width="23" style="217" customWidth="1"/>
    <col min="10498" max="10505" width="11.85546875" style="217" customWidth="1"/>
    <col min="10506" max="10752" width="11.42578125" style="217"/>
    <col min="10753" max="10753" width="23" style="217" customWidth="1"/>
    <col min="10754" max="10761" width="11.85546875" style="217" customWidth="1"/>
    <col min="10762" max="11008" width="11.42578125" style="217"/>
    <col min="11009" max="11009" width="23" style="217" customWidth="1"/>
    <col min="11010" max="11017" width="11.85546875" style="217" customWidth="1"/>
    <col min="11018" max="11264" width="11.42578125" style="217"/>
    <col min="11265" max="11265" width="23" style="217" customWidth="1"/>
    <col min="11266" max="11273" width="11.85546875" style="217" customWidth="1"/>
    <col min="11274" max="11520" width="11.42578125" style="217"/>
    <col min="11521" max="11521" width="23" style="217" customWidth="1"/>
    <col min="11522" max="11529" width="11.85546875" style="217" customWidth="1"/>
    <col min="11530" max="11776" width="11.42578125" style="217"/>
    <col min="11777" max="11777" width="23" style="217" customWidth="1"/>
    <col min="11778" max="11785" width="11.85546875" style="217" customWidth="1"/>
    <col min="11786" max="12032" width="11.42578125" style="217"/>
    <col min="12033" max="12033" width="23" style="217" customWidth="1"/>
    <col min="12034" max="12041" width="11.85546875" style="217" customWidth="1"/>
    <col min="12042" max="12288" width="11.42578125" style="217"/>
    <col min="12289" max="12289" width="23" style="217" customWidth="1"/>
    <col min="12290" max="12297" width="11.85546875" style="217" customWidth="1"/>
    <col min="12298" max="12544" width="11.42578125" style="217"/>
    <col min="12545" max="12545" width="23" style="217" customWidth="1"/>
    <col min="12546" max="12553" width="11.85546875" style="217" customWidth="1"/>
    <col min="12554" max="12800" width="11.42578125" style="217"/>
    <col min="12801" max="12801" width="23" style="217" customWidth="1"/>
    <col min="12802" max="12809" width="11.85546875" style="217" customWidth="1"/>
    <col min="12810" max="13056" width="11.42578125" style="217"/>
    <col min="13057" max="13057" width="23" style="217" customWidth="1"/>
    <col min="13058" max="13065" width="11.85546875" style="217" customWidth="1"/>
    <col min="13066" max="13312" width="11.42578125" style="217"/>
    <col min="13313" max="13313" width="23" style="217" customWidth="1"/>
    <col min="13314" max="13321" width="11.85546875" style="217" customWidth="1"/>
    <col min="13322" max="13568" width="11.42578125" style="217"/>
    <col min="13569" max="13569" width="23" style="217" customWidth="1"/>
    <col min="13570" max="13577" width="11.85546875" style="217" customWidth="1"/>
    <col min="13578" max="13824" width="11.42578125" style="217"/>
    <col min="13825" max="13825" width="23" style="217" customWidth="1"/>
    <col min="13826" max="13833" width="11.85546875" style="217" customWidth="1"/>
    <col min="13834" max="14080" width="11.42578125" style="217"/>
    <col min="14081" max="14081" width="23" style="217" customWidth="1"/>
    <col min="14082" max="14089" width="11.85546875" style="217" customWidth="1"/>
    <col min="14090" max="14336" width="11.42578125" style="217"/>
    <col min="14337" max="14337" width="23" style="217" customWidth="1"/>
    <col min="14338" max="14345" width="11.85546875" style="217" customWidth="1"/>
    <col min="14346" max="14592" width="11.42578125" style="217"/>
    <col min="14593" max="14593" width="23" style="217" customWidth="1"/>
    <col min="14594" max="14601" width="11.85546875" style="217" customWidth="1"/>
    <col min="14602" max="14848" width="11.42578125" style="217"/>
    <col min="14849" max="14849" width="23" style="217" customWidth="1"/>
    <col min="14850" max="14857" width="11.85546875" style="217" customWidth="1"/>
    <col min="14858" max="15104" width="11.42578125" style="217"/>
    <col min="15105" max="15105" width="23" style="217" customWidth="1"/>
    <col min="15106" max="15113" width="11.85546875" style="217" customWidth="1"/>
    <col min="15114" max="15360" width="11.42578125" style="217"/>
    <col min="15361" max="15361" width="23" style="217" customWidth="1"/>
    <col min="15362" max="15369" width="11.85546875" style="217" customWidth="1"/>
    <col min="15370" max="15616" width="11.42578125" style="217"/>
    <col min="15617" max="15617" width="23" style="217" customWidth="1"/>
    <col min="15618" max="15625" width="11.85546875" style="217" customWidth="1"/>
    <col min="15626" max="15872" width="11.42578125" style="217"/>
    <col min="15873" max="15873" width="23" style="217" customWidth="1"/>
    <col min="15874" max="15881" width="11.85546875" style="217" customWidth="1"/>
    <col min="15882" max="16128" width="11.42578125" style="217"/>
    <col min="16129" max="16129" width="23" style="217" customWidth="1"/>
    <col min="16130" max="16137" width="11.85546875" style="217" customWidth="1"/>
    <col min="16138" max="16384" width="11.42578125" style="217"/>
  </cols>
  <sheetData>
    <row r="1" spans="1:9" ht="18.75">
      <c r="A1" s="239" t="s">
        <v>63</v>
      </c>
      <c r="B1" s="239"/>
      <c r="C1" s="239"/>
      <c r="D1" s="239"/>
      <c r="E1" s="239"/>
      <c r="F1" s="239"/>
      <c r="G1" s="239"/>
      <c r="H1" s="239"/>
      <c r="I1" s="239"/>
    </row>
    <row r="2" spans="1:9" s="224" customFormat="1" ht="11.25">
      <c r="A2" s="223"/>
      <c r="B2" s="231" t="s">
        <v>102</v>
      </c>
      <c r="C2" s="231"/>
      <c r="D2" s="231"/>
      <c r="E2" s="232"/>
      <c r="F2" s="233" t="s">
        <v>93</v>
      </c>
      <c r="G2" s="234"/>
      <c r="H2" s="234"/>
      <c r="I2" s="235"/>
    </row>
    <row r="3" spans="1:9" s="224" customFormat="1" ht="22.5">
      <c r="A3" s="225"/>
      <c r="B3" s="219" t="s">
        <v>64</v>
      </c>
      <c r="C3" s="219" t="s">
        <v>65</v>
      </c>
      <c r="D3" s="219" t="s">
        <v>66</v>
      </c>
      <c r="E3" s="219" t="s">
        <v>67</v>
      </c>
      <c r="F3" s="220" t="s">
        <v>64</v>
      </c>
      <c r="G3" s="220" t="s">
        <v>65</v>
      </c>
      <c r="H3" s="220" t="s">
        <v>66</v>
      </c>
      <c r="I3" s="220" t="s">
        <v>67</v>
      </c>
    </row>
    <row r="4" spans="1:9" ht="15">
      <c r="A4" s="221" t="s">
        <v>101</v>
      </c>
      <c r="B4" s="222">
        <f>(CAPTURA!B4/CAPTURA!C4)*100</f>
        <v>100</v>
      </c>
      <c r="C4" s="222">
        <f>(CAPTURA!D4/CAPTURA!E4)*100</f>
        <v>100</v>
      </c>
      <c r="D4" s="222">
        <f>(CAPTURA!F4/CAPTURA!G4)*100</f>
        <v>100</v>
      </c>
      <c r="E4" s="222">
        <f>(CAPTURA!H4/CAPTURA!I4)*100</f>
        <v>100</v>
      </c>
      <c r="F4" s="222" t="e">
        <f>(CAPTURA!J4/CAPTURA!K4)*100</f>
        <v>#DIV/0!</v>
      </c>
      <c r="G4" s="222" t="e">
        <f>(CAPTURA!L4/CAPTURA!M4)*100</f>
        <v>#DIV/0!</v>
      </c>
      <c r="H4" s="222">
        <f>(CAPTURA!N4/CAPTURA!O4)*100</f>
        <v>100</v>
      </c>
      <c r="I4" s="222">
        <f>(CAPTURA!P4/CAPTURA!Q4)*100</f>
        <v>100</v>
      </c>
    </row>
    <row r="5" spans="1:9" ht="15">
      <c r="A5" s="221" t="s">
        <v>30</v>
      </c>
      <c r="B5" s="222" t="e">
        <f>(CAPTURA!B5/CAPTURA!C5)*100</f>
        <v>#DIV/0!</v>
      </c>
      <c r="C5" s="222" t="e">
        <f>(CAPTURA!D5/CAPTURA!E5)*100</f>
        <v>#DIV/0!</v>
      </c>
      <c r="D5" s="222" t="e">
        <f>(CAPTURA!F5/CAPTURA!G5)*100</f>
        <v>#DIV/0!</v>
      </c>
      <c r="E5" s="222" t="e">
        <f>(CAPTURA!H5/CAPTURA!I5)*100</f>
        <v>#DIV/0!</v>
      </c>
      <c r="F5" s="222" t="e">
        <f>(CAPTURA!J5/CAPTURA!K5)*100</f>
        <v>#DIV/0!</v>
      </c>
      <c r="G5" s="222" t="e">
        <f>(CAPTURA!L5/CAPTURA!M5)*100</f>
        <v>#DIV/0!</v>
      </c>
      <c r="H5" s="222" t="e">
        <f>(CAPTURA!N5/CAPTURA!O5)*100</f>
        <v>#DIV/0!</v>
      </c>
      <c r="I5" s="222" t="e">
        <f>(CAPTURA!P5/CAPTURA!Q5)*100</f>
        <v>#DIV/0!</v>
      </c>
    </row>
    <row r="6" spans="1:9" ht="15">
      <c r="A6" s="221" t="s">
        <v>8</v>
      </c>
      <c r="B6" s="222" t="e">
        <f>(CAPTURA!B6/CAPTURA!C6)*100</f>
        <v>#DIV/0!</v>
      </c>
      <c r="C6" s="222" t="e">
        <f>(CAPTURA!D6/CAPTURA!E6)*100</f>
        <v>#DIV/0!</v>
      </c>
      <c r="D6" s="222">
        <f>(CAPTURA!F6/CAPTURA!G6)*100</f>
        <v>0</v>
      </c>
      <c r="E6" s="222">
        <f>(CAPTURA!H6/CAPTURA!I6)*100</f>
        <v>100</v>
      </c>
      <c r="F6" s="222">
        <f>(CAPTURA!J6/CAPTURA!K6)*100</f>
        <v>100</v>
      </c>
      <c r="G6" s="222">
        <f>(CAPTURA!L6/CAPTURA!M6)*100</f>
        <v>100</v>
      </c>
      <c r="H6" s="222">
        <f>(CAPTURA!N6/CAPTURA!O6)*100</f>
        <v>80</v>
      </c>
      <c r="I6" s="222">
        <f>(CAPTURA!P6/CAPTURA!Q6)*100</f>
        <v>88.888888888888886</v>
      </c>
    </row>
    <row r="7" spans="1:9" ht="15">
      <c r="A7" s="221" t="s">
        <v>9</v>
      </c>
      <c r="B7" s="222" t="e">
        <f>(CAPTURA!B7/CAPTURA!C7)*100</f>
        <v>#DIV/0!</v>
      </c>
      <c r="C7" s="222" t="e">
        <f>(CAPTURA!D7/CAPTURA!E7)*100</f>
        <v>#DIV/0!</v>
      </c>
      <c r="D7" s="222" t="e">
        <f>(CAPTURA!F7/CAPTURA!G7)*100</f>
        <v>#DIV/0!</v>
      </c>
      <c r="E7" s="222" t="e">
        <f>(CAPTURA!H7/CAPTURA!I7)*100</f>
        <v>#DIV/0!</v>
      </c>
      <c r="F7" s="222" t="e">
        <f>(CAPTURA!J7/CAPTURA!K7)*100</f>
        <v>#DIV/0!</v>
      </c>
      <c r="G7" s="222" t="e">
        <f>(CAPTURA!L7/CAPTURA!M7)*100</f>
        <v>#DIV/0!</v>
      </c>
      <c r="H7" s="222" t="e">
        <f>(CAPTURA!N7/CAPTURA!O7)*100</f>
        <v>#DIV/0!</v>
      </c>
      <c r="I7" s="222" t="e">
        <f>(CAPTURA!P7/CAPTURA!Q7)*100</f>
        <v>#DIV/0!</v>
      </c>
    </row>
    <row r="8" spans="1:9" ht="15">
      <c r="A8" s="221" t="s">
        <v>10</v>
      </c>
      <c r="B8" s="222" t="e">
        <f>(CAPTURA!B8/CAPTURA!C8)*100</f>
        <v>#DIV/0!</v>
      </c>
      <c r="C8" s="222" t="e">
        <f>(CAPTURA!D8/CAPTURA!E8)*100</f>
        <v>#DIV/0!</v>
      </c>
      <c r="D8" s="222" t="e">
        <f>(CAPTURA!F8/CAPTURA!G8)*100</f>
        <v>#DIV/0!</v>
      </c>
      <c r="E8" s="222" t="e">
        <f>(CAPTURA!H8/CAPTURA!I8)*100</f>
        <v>#DIV/0!</v>
      </c>
      <c r="F8" s="222" t="e">
        <f>(CAPTURA!J8/CAPTURA!K8)*100</f>
        <v>#DIV/0!</v>
      </c>
      <c r="G8" s="222" t="e">
        <f>(CAPTURA!L8/CAPTURA!M8)*100</f>
        <v>#DIV/0!</v>
      </c>
      <c r="H8" s="222" t="e">
        <f>(CAPTURA!N8/CAPTURA!O8)*100</f>
        <v>#DIV/0!</v>
      </c>
      <c r="I8" s="222" t="e">
        <f>(CAPTURA!P8/CAPTURA!Q8)*100</f>
        <v>#DIV/0!</v>
      </c>
    </row>
    <row r="9" spans="1:9" ht="15">
      <c r="A9" s="221" t="s">
        <v>11</v>
      </c>
      <c r="B9" s="222" t="e">
        <f>(CAPTURA!B9/CAPTURA!C9)*100</f>
        <v>#DIV/0!</v>
      </c>
      <c r="C9" s="222" t="e">
        <f>(CAPTURA!D9/CAPTURA!E9)*100</f>
        <v>#DIV/0!</v>
      </c>
      <c r="D9" s="222" t="e">
        <f>(CAPTURA!F9/CAPTURA!G9)*100</f>
        <v>#DIV/0!</v>
      </c>
      <c r="E9" s="222" t="e">
        <f>(CAPTURA!H9/CAPTURA!I9)*100</f>
        <v>#DIV/0!</v>
      </c>
      <c r="F9" s="222" t="e">
        <f>(CAPTURA!J9/CAPTURA!K9)*100</f>
        <v>#DIV/0!</v>
      </c>
      <c r="G9" s="222" t="e">
        <f>(CAPTURA!L9/CAPTURA!M9)*100</f>
        <v>#DIV/0!</v>
      </c>
      <c r="H9" s="222" t="e">
        <f>(CAPTURA!N9/CAPTURA!O9)*100</f>
        <v>#DIV/0!</v>
      </c>
      <c r="I9" s="222" t="e">
        <f>(CAPTURA!P9/CAPTURA!Q9)*100</f>
        <v>#DIV/0!</v>
      </c>
    </row>
    <row r="10" spans="1:9" ht="15">
      <c r="A10" s="221" t="s">
        <v>12</v>
      </c>
      <c r="B10" s="222">
        <f>(CAPTURA!B10/CAPTURA!C10)*100</f>
        <v>100</v>
      </c>
      <c r="C10" s="222">
        <f>(CAPTURA!D10/CAPTURA!E10)*100</f>
        <v>100</v>
      </c>
      <c r="D10" s="222">
        <f>(CAPTURA!F10/CAPTURA!G10)*100</f>
        <v>100</v>
      </c>
      <c r="E10" s="222">
        <f>(CAPTURA!H10/CAPTURA!I10)*100</f>
        <v>100</v>
      </c>
      <c r="F10" s="222" t="e">
        <f>(CAPTURA!J10/CAPTURA!K10)*100</f>
        <v>#DIV/0!</v>
      </c>
      <c r="G10" s="222" t="e">
        <f>(CAPTURA!L10/CAPTURA!M10)*100</f>
        <v>#DIV/0!</v>
      </c>
      <c r="H10" s="222">
        <f>(CAPTURA!N10/CAPTURA!O10)*100</f>
        <v>100</v>
      </c>
      <c r="I10" s="222">
        <f>(CAPTURA!P10/CAPTURA!Q10)*100</f>
        <v>100</v>
      </c>
    </row>
    <row r="11" spans="1:9" ht="15">
      <c r="A11" s="221" t="s">
        <v>13</v>
      </c>
      <c r="B11" s="222" t="e">
        <f>(CAPTURA!B11/CAPTURA!C11)*100</f>
        <v>#DIV/0!</v>
      </c>
      <c r="C11" s="222" t="e">
        <f>(CAPTURA!D11/CAPTURA!E11)*100</f>
        <v>#DIV/0!</v>
      </c>
      <c r="D11" s="222">
        <f>(CAPTURA!F11/CAPTURA!G11)*100</f>
        <v>0</v>
      </c>
      <c r="E11" s="222">
        <f>(CAPTURA!H11/CAPTURA!I11)*100</f>
        <v>82.142857142857139</v>
      </c>
      <c r="F11" s="222">
        <f>(CAPTURA!J11/CAPTURA!K11)*100</f>
        <v>50</v>
      </c>
      <c r="G11" s="222">
        <f>(CAPTURA!L11/CAPTURA!M11)*100</f>
        <v>100</v>
      </c>
      <c r="H11" s="222">
        <f>(CAPTURA!N11/CAPTURA!O11)*100</f>
        <v>40</v>
      </c>
      <c r="I11" s="222">
        <f>(CAPTURA!P11/CAPTURA!Q11)*100</f>
        <v>53.846153846153847</v>
      </c>
    </row>
    <row r="12" spans="1:9" ht="15">
      <c r="A12" s="221" t="s">
        <v>14</v>
      </c>
      <c r="B12" s="222" t="e">
        <f>(CAPTURA!B12/CAPTURA!C12)*100</f>
        <v>#DIV/0!</v>
      </c>
      <c r="C12" s="222" t="e">
        <f>(CAPTURA!D12/CAPTURA!E12)*100</f>
        <v>#DIV/0!</v>
      </c>
      <c r="D12" s="222" t="e">
        <f>(CAPTURA!F12/CAPTURA!G12)*100</f>
        <v>#DIV/0!</v>
      </c>
      <c r="E12" s="222" t="e">
        <f>(CAPTURA!H12/CAPTURA!I12)*100</f>
        <v>#DIV/0!</v>
      </c>
      <c r="F12" s="222" t="e">
        <f>(CAPTURA!J12/CAPTURA!K12)*100</f>
        <v>#DIV/0!</v>
      </c>
      <c r="G12" s="222" t="e">
        <f>(CAPTURA!L12/CAPTURA!M12)*100</f>
        <v>#DIV/0!</v>
      </c>
      <c r="H12" s="222" t="e">
        <f>(CAPTURA!N12/CAPTURA!O12)*100</f>
        <v>#DIV/0!</v>
      </c>
      <c r="I12" s="222" t="e">
        <f>(CAPTURA!P12/CAPTURA!Q12)*100</f>
        <v>#DIV/0!</v>
      </c>
    </row>
    <row r="13" spans="1:9" ht="15">
      <c r="A13" s="221" t="s">
        <v>15</v>
      </c>
      <c r="B13" s="222" t="e">
        <f>(CAPTURA!B13/CAPTURA!C13)*100</f>
        <v>#DIV/0!</v>
      </c>
      <c r="C13" s="222" t="e">
        <f>(CAPTURA!D13/CAPTURA!E13)*100</f>
        <v>#DIV/0!</v>
      </c>
      <c r="D13" s="222" t="e">
        <f>(CAPTURA!F13/CAPTURA!G13)*100</f>
        <v>#DIV/0!</v>
      </c>
      <c r="E13" s="222" t="e">
        <f>(CAPTURA!H13/CAPTURA!I13)*100</f>
        <v>#DIV/0!</v>
      </c>
      <c r="F13" s="222" t="e">
        <f>(CAPTURA!J13/CAPTURA!K13)*100</f>
        <v>#DIV/0!</v>
      </c>
      <c r="G13" s="222" t="e">
        <f>(CAPTURA!L13/CAPTURA!M13)*100</f>
        <v>#DIV/0!</v>
      </c>
      <c r="H13" s="222" t="e">
        <f>(CAPTURA!N13/CAPTURA!O13)*100</f>
        <v>#DIV/0!</v>
      </c>
      <c r="I13" s="222" t="e">
        <f>(CAPTURA!P13/CAPTURA!Q13)*100</f>
        <v>#DIV/0!</v>
      </c>
    </row>
    <row r="14" spans="1:9" ht="15">
      <c r="A14" s="221" t="s">
        <v>16</v>
      </c>
      <c r="B14" s="222" t="e">
        <f>(CAPTURA!B14/CAPTURA!C14)*100</f>
        <v>#DIV/0!</v>
      </c>
      <c r="C14" s="222" t="e">
        <f>(CAPTURA!D14/CAPTURA!E14)*100</f>
        <v>#DIV/0!</v>
      </c>
      <c r="D14" s="222" t="e">
        <f>(CAPTURA!F14/CAPTURA!G14)*100</f>
        <v>#DIV/0!</v>
      </c>
      <c r="E14" s="222" t="e">
        <f>(CAPTURA!H14/CAPTURA!I14)*100</f>
        <v>#DIV/0!</v>
      </c>
      <c r="F14" s="222" t="e">
        <f>(CAPTURA!J14/CAPTURA!K14)*100</f>
        <v>#DIV/0!</v>
      </c>
      <c r="G14" s="222" t="e">
        <f>(CAPTURA!L14/CAPTURA!M14)*100</f>
        <v>#DIV/0!</v>
      </c>
      <c r="H14" s="222" t="e">
        <f>(CAPTURA!N14/CAPTURA!O14)*100</f>
        <v>#DIV/0!</v>
      </c>
      <c r="I14" s="222" t="e">
        <f>(CAPTURA!P14/CAPTURA!Q14)*100</f>
        <v>#DIV/0!</v>
      </c>
    </row>
  </sheetData>
  <mergeCells count="3">
    <mergeCell ref="A1:I1"/>
    <mergeCell ref="B2:E2"/>
    <mergeCell ref="F2:I2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R350"/>
  <sheetViews>
    <sheetView tabSelected="1" zoomScaleNormal="100" zoomScaleSheetLayoutView="100" workbookViewId="0">
      <selection sqref="A1:T1"/>
    </sheetView>
  </sheetViews>
  <sheetFormatPr baseColWidth="10" defaultRowHeight="12.75"/>
  <cols>
    <col min="1" max="1" width="18.7109375" style="3" bestFit="1" customWidth="1"/>
    <col min="2" max="2" width="11.5703125" style="3" bestFit="1" customWidth="1"/>
    <col min="3" max="3" width="13.140625" style="3" customWidth="1"/>
    <col min="4" max="4" width="14.140625" style="3" customWidth="1"/>
    <col min="5" max="5" width="11.7109375" style="3" customWidth="1"/>
    <col min="6" max="6" width="10.42578125" style="3" customWidth="1"/>
    <col min="7" max="7" width="12.140625" style="3" hidden="1" customWidth="1"/>
    <col min="8" max="8" width="12.5703125" style="3" customWidth="1"/>
    <col min="9" max="9" width="12.42578125" style="3" hidden="1" customWidth="1"/>
    <col min="10" max="10" width="13.42578125" style="3" customWidth="1"/>
    <col min="11" max="11" width="13.85546875" style="3" customWidth="1"/>
    <col min="12" max="12" width="13.28515625" style="3" bestFit="1" customWidth="1"/>
    <col min="13" max="13" width="12" style="3" customWidth="1"/>
    <col min="14" max="14" width="15.140625" style="3" customWidth="1"/>
    <col min="15" max="15" width="12.140625" style="3" hidden="1" customWidth="1"/>
    <col min="16" max="16" width="12.140625" style="3" customWidth="1"/>
    <col min="17" max="17" width="12" style="3" hidden="1" customWidth="1"/>
    <col min="18" max="18" width="12.5703125" style="3" hidden="1" customWidth="1"/>
    <col min="19" max="19" width="13.7109375" style="3" hidden="1" customWidth="1"/>
    <col min="20" max="20" width="13.5703125" style="3" hidden="1" customWidth="1"/>
    <col min="21" max="21" width="13.7109375" style="3" hidden="1" customWidth="1"/>
    <col min="22" max="22" width="12.140625" style="3" hidden="1" customWidth="1"/>
    <col min="23" max="23" width="15.42578125" style="3" hidden="1" customWidth="1"/>
    <col min="24" max="24" width="13.140625" style="3" hidden="1" customWidth="1"/>
    <col min="25" max="25" width="12.5703125" style="3" hidden="1" customWidth="1"/>
    <col min="26" max="26" width="13.7109375" style="3" hidden="1" customWidth="1"/>
    <col min="27" max="27" width="16.85546875" style="3" hidden="1" customWidth="1"/>
    <col min="28" max="28" width="9.85546875" style="3" hidden="1" customWidth="1"/>
    <col min="29" max="29" width="16.85546875" style="3" hidden="1" customWidth="1"/>
    <col min="30" max="33" width="5.7109375" style="3" hidden="1" customWidth="1"/>
    <col min="34" max="34" width="4.85546875" style="3" hidden="1" customWidth="1"/>
    <col min="35" max="36" width="5.7109375" style="3" hidden="1" customWidth="1"/>
    <col min="37" max="37" width="7.7109375" style="3" hidden="1" customWidth="1"/>
    <col min="38" max="38" width="8" style="3" hidden="1" customWidth="1"/>
    <col min="39" max="39" width="7" style="3" hidden="1" customWidth="1"/>
    <col min="40" max="40" width="7.42578125" style="3" hidden="1" customWidth="1"/>
    <col min="41" max="41" width="18.28515625" style="3" hidden="1" customWidth="1"/>
    <col min="42" max="42" width="18.7109375" style="3" hidden="1" customWidth="1"/>
    <col min="43" max="43" width="12.28515625" style="3" hidden="1" customWidth="1"/>
    <col min="44" max="44" width="7.85546875" style="3" customWidth="1"/>
    <col min="45" max="45" width="6.140625" style="3" customWidth="1"/>
    <col min="46" max="57" width="5.7109375" style="3" customWidth="1"/>
    <col min="58" max="58" width="3.140625" style="3" customWidth="1"/>
    <col min="59" max="77" width="11.42578125" style="3"/>
    <col min="78" max="78" width="18.5703125" style="3" customWidth="1"/>
    <col min="79" max="16384" width="11.42578125" style="3"/>
  </cols>
  <sheetData>
    <row r="1" spans="1:44" s="2" customFormat="1" ht="50.25" customHeight="1">
      <c r="A1" s="241" t="s">
        <v>63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7"/>
      <c r="V1" s="27"/>
      <c r="W1" s="242" t="s">
        <v>68</v>
      </c>
      <c r="X1" s="242"/>
      <c r="Y1" s="242"/>
      <c r="Z1" s="242"/>
      <c r="AA1" s="242"/>
      <c r="AB1" s="93"/>
      <c r="AC1" s="93"/>
      <c r="AD1" s="243" t="s">
        <v>77</v>
      </c>
      <c r="AE1" s="243"/>
      <c r="AF1" s="243"/>
      <c r="AG1" s="243"/>
      <c r="AH1" s="243"/>
      <c r="AI1" s="243"/>
      <c r="AJ1" s="243"/>
      <c r="AK1" s="243"/>
      <c r="AL1" s="243"/>
      <c r="AM1" s="94"/>
      <c r="AN1" s="94"/>
      <c r="AO1" s="94"/>
      <c r="AP1" s="94"/>
      <c r="AQ1" s="94"/>
    </row>
    <row r="2" spans="1:44" ht="24.75" customHeight="1">
      <c r="A2" s="100"/>
      <c r="B2" s="244" t="s">
        <v>78</v>
      </c>
      <c r="C2" s="244"/>
      <c r="D2" s="244"/>
      <c r="E2" s="244"/>
      <c r="F2" s="245"/>
      <c r="G2" s="126"/>
      <c r="H2" s="215"/>
      <c r="I2" s="127"/>
      <c r="J2" s="246" t="s">
        <v>79</v>
      </c>
      <c r="K2" s="247"/>
      <c r="L2" s="247"/>
      <c r="M2" s="247"/>
      <c r="N2" s="247"/>
      <c r="O2" s="12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9"/>
      <c r="AB2" s="109"/>
      <c r="AC2" s="114"/>
      <c r="AD2" s="114"/>
      <c r="AE2" s="114"/>
      <c r="AF2" s="114"/>
      <c r="AG2" s="114"/>
      <c r="AH2" s="114"/>
      <c r="AI2" s="114"/>
      <c r="AJ2" s="114"/>
      <c r="AK2" s="129"/>
      <c r="AL2" s="129"/>
      <c r="AM2" s="129"/>
      <c r="AN2" s="127"/>
    </row>
    <row r="3" spans="1:44" ht="46.5" customHeight="1">
      <c r="A3" s="12" t="s">
        <v>7</v>
      </c>
      <c r="B3" s="120" t="s">
        <v>80</v>
      </c>
      <c r="C3" s="120" t="s">
        <v>64</v>
      </c>
      <c r="D3" s="120" t="s">
        <v>65</v>
      </c>
      <c r="E3" s="120" t="s">
        <v>66</v>
      </c>
      <c r="F3" s="120" t="s">
        <v>67</v>
      </c>
      <c r="G3" s="101" t="s">
        <v>0</v>
      </c>
      <c r="H3" s="102" t="s">
        <v>1</v>
      </c>
      <c r="I3" s="103" t="s">
        <v>7</v>
      </c>
      <c r="J3" s="121" t="s">
        <v>80</v>
      </c>
      <c r="K3" s="121" t="s">
        <v>64</v>
      </c>
      <c r="L3" s="121" t="s">
        <v>65</v>
      </c>
      <c r="M3" s="121" t="s">
        <v>66</v>
      </c>
      <c r="N3" s="121" t="s">
        <v>67</v>
      </c>
      <c r="O3" s="101" t="s">
        <v>0</v>
      </c>
      <c r="P3" s="110" t="s">
        <v>1</v>
      </c>
      <c r="Q3" s="12" t="s">
        <v>7</v>
      </c>
      <c r="R3" s="111" t="s">
        <v>64</v>
      </c>
      <c r="S3" s="111" t="s">
        <v>65</v>
      </c>
      <c r="T3" s="111" t="s">
        <v>66</v>
      </c>
      <c r="U3" s="111" t="s">
        <v>67</v>
      </c>
      <c r="V3" s="13" t="s">
        <v>0</v>
      </c>
      <c r="W3" s="14" t="s">
        <v>2</v>
      </c>
      <c r="X3" s="12" t="s">
        <v>7</v>
      </c>
      <c r="Y3" s="112" t="s">
        <v>64</v>
      </c>
      <c r="Z3" s="112" t="s">
        <v>65</v>
      </c>
      <c r="AA3" s="112" t="s">
        <v>66</v>
      </c>
      <c r="AB3" s="112" t="s">
        <v>67</v>
      </c>
      <c r="AC3" s="15" t="s">
        <v>3</v>
      </c>
      <c r="AD3" s="113" t="s">
        <v>29</v>
      </c>
      <c r="AE3" s="130"/>
      <c r="AF3" s="240" t="s">
        <v>81</v>
      </c>
      <c r="AG3" s="240"/>
      <c r="AH3" s="240"/>
      <c r="AI3" s="240"/>
      <c r="AJ3" s="115"/>
      <c r="AK3" s="240" t="s">
        <v>82</v>
      </c>
      <c r="AL3" s="240"/>
      <c r="AM3" s="240"/>
      <c r="AN3" s="240"/>
      <c r="AO3" s="52"/>
      <c r="AP3" s="52"/>
      <c r="AQ3" s="52"/>
      <c r="AR3" s="52"/>
    </row>
    <row r="4" spans="1:44" ht="20.100000000000001" customHeight="1">
      <c r="A4" s="4" t="s">
        <v>6</v>
      </c>
      <c r="B4" s="206">
        <v>1</v>
      </c>
      <c r="C4" s="119">
        <f>CONCENTRADO!B4</f>
        <v>100</v>
      </c>
      <c r="D4" s="119">
        <f>CONCENTRADO!C4</f>
        <v>100</v>
      </c>
      <c r="E4" s="119">
        <f>CONCENTRADO!D4</f>
        <v>100</v>
      </c>
      <c r="F4" s="119">
        <f>CONCENTRADO!E4</f>
        <v>100</v>
      </c>
      <c r="G4" s="131">
        <f>SQRT(SUMSQ(AF4:AI4))</f>
        <v>50.990195135927848</v>
      </c>
      <c r="H4" s="201">
        <f t="shared" ref="H4:H14" si="0">(G4/$G$15)*100</f>
        <v>100</v>
      </c>
      <c r="I4" s="104" t="s">
        <v>6</v>
      </c>
      <c r="J4" s="208">
        <v>2</v>
      </c>
      <c r="K4" s="105" t="e">
        <f>CONCENTRADO!F4</f>
        <v>#DIV/0!</v>
      </c>
      <c r="L4" s="105" t="e">
        <f>CONCENTRADO!G4</f>
        <v>#DIV/0!</v>
      </c>
      <c r="M4" s="105">
        <f>CONCENTRADO!H4</f>
        <v>100</v>
      </c>
      <c r="N4" s="105">
        <f>CONCENTRADO!I4</f>
        <v>100</v>
      </c>
      <c r="O4" s="131" t="e">
        <f>SQRT(SUMSQ(AK4:AN4))</f>
        <v>#DIV/0!</v>
      </c>
      <c r="P4" s="201" t="e">
        <f t="shared" ref="P4:P14" si="1">(O4/$O$15)*100</f>
        <v>#DIV/0!</v>
      </c>
      <c r="Q4" s="4" t="s">
        <v>6</v>
      </c>
      <c r="R4" s="132" t="e">
        <f t="shared" ref="R4:R14" si="2">K4-C4</f>
        <v>#DIV/0!</v>
      </c>
      <c r="S4" s="132" t="e">
        <f t="shared" ref="S4:S14" si="3">L4-D4</f>
        <v>#DIV/0!</v>
      </c>
      <c r="T4" s="132">
        <f t="shared" ref="T4:T14" si="4">M4-E4</f>
        <v>0</v>
      </c>
      <c r="U4" s="132">
        <f t="shared" ref="U4:U14" si="5">N4-F4</f>
        <v>0</v>
      </c>
      <c r="V4" s="133" t="e">
        <f t="shared" ref="V4:V14" si="6">SQRT(SUMSQ(R4:U4))</f>
        <v>#DIV/0!</v>
      </c>
      <c r="W4" s="134" t="e">
        <f t="shared" ref="W4:W14" si="7">(P4/H4)*100-100</f>
        <v>#DIV/0!</v>
      </c>
      <c r="X4" s="4" t="s">
        <v>6</v>
      </c>
      <c r="Y4" s="135" t="e">
        <f t="shared" ref="Y4:AB14" si="8">R4/12</f>
        <v>#DIV/0!</v>
      </c>
      <c r="Z4" s="135" t="e">
        <f t="shared" si="8"/>
        <v>#DIV/0!</v>
      </c>
      <c r="AA4" s="135">
        <f t="shared" si="8"/>
        <v>0</v>
      </c>
      <c r="AB4" s="135">
        <f t="shared" si="8"/>
        <v>0</v>
      </c>
      <c r="AC4" s="136" t="e">
        <f t="shared" ref="AC4:AC14" si="9">SQRT(SUMSQ(Y4:AB4))</f>
        <v>#DIV/0!</v>
      </c>
      <c r="AD4" s="137" t="e">
        <f t="shared" ref="AD4:AD14" si="10">(P4-H4)/12</f>
        <v>#DIV/0!</v>
      </c>
      <c r="AE4" s="138"/>
      <c r="AF4" s="139">
        <f>C4*0.3</f>
        <v>30</v>
      </c>
      <c r="AG4" s="139">
        <f>D4*0.2</f>
        <v>20</v>
      </c>
      <c r="AH4" s="139">
        <f>E4*0.3</f>
        <v>30</v>
      </c>
      <c r="AI4" s="139">
        <f>F4*0.2</f>
        <v>20</v>
      </c>
      <c r="AJ4" s="139"/>
      <c r="AK4" s="139" t="e">
        <f>K4*0.3</f>
        <v>#DIV/0!</v>
      </c>
      <c r="AL4" s="139" t="e">
        <f>L4*0.2</f>
        <v>#DIV/0!</v>
      </c>
      <c r="AM4" s="139">
        <f>M4*0.3</f>
        <v>30</v>
      </c>
      <c r="AN4" s="139">
        <f>N4*0.2</f>
        <v>20</v>
      </c>
      <c r="AO4" s="53"/>
      <c r="AP4" s="53"/>
      <c r="AQ4" s="53"/>
      <c r="AR4" s="53"/>
    </row>
    <row r="5" spans="1:44" ht="20.100000000000001" customHeight="1">
      <c r="A5" s="4" t="s">
        <v>30</v>
      </c>
      <c r="B5" s="206">
        <v>1</v>
      </c>
      <c r="C5" s="119" t="e">
        <f>CONCENTRADO!B5</f>
        <v>#DIV/0!</v>
      </c>
      <c r="D5" s="119" t="e">
        <f>CONCENTRADO!C5</f>
        <v>#DIV/0!</v>
      </c>
      <c r="E5" s="119" t="e">
        <f>CONCENTRADO!D5</f>
        <v>#DIV/0!</v>
      </c>
      <c r="F5" s="119" t="e">
        <f>CONCENTRADO!E5</f>
        <v>#DIV/0!</v>
      </c>
      <c r="G5" s="131" t="e">
        <f t="shared" ref="G5:G13" si="11">SQRT(SUMSQ(AF5:AI5))</f>
        <v>#DIV/0!</v>
      </c>
      <c r="H5" s="201" t="e">
        <f t="shared" si="0"/>
        <v>#DIV/0!</v>
      </c>
      <c r="I5" s="104" t="s">
        <v>30</v>
      </c>
      <c r="J5" s="208">
        <v>2</v>
      </c>
      <c r="K5" s="105" t="e">
        <f>CONCENTRADO!F5</f>
        <v>#DIV/0!</v>
      </c>
      <c r="L5" s="105" t="e">
        <f>CONCENTRADO!G5</f>
        <v>#DIV/0!</v>
      </c>
      <c r="M5" s="105" t="e">
        <f>CONCENTRADO!H5</f>
        <v>#DIV/0!</v>
      </c>
      <c r="N5" s="105" t="e">
        <f>CONCENTRADO!I5</f>
        <v>#DIV/0!</v>
      </c>
      <c r="O5" s="131" t="e">
        <f t="shared" ref="O5:O14" si="12">SQRT(SUMSQ(AK5:AN5))</f>
        <v>#DIV/0!</v>
      </c>
      <c r="P5" s="201" t="e">
        <f t="shared" si="1"/>
        <v>#DIV/0!</v>
      </c>
      <c r="Q5" s="4" t="s">
        <v>30</v>
      </c>
      <c r="R5" s="132" t="e">
        <f t="shared" si="2"/>
        <v>#DIV/0!</v>
      </c>
      <c r="S5" s="132" t="e">
        <f t="shared" si="3"/>
        <v>#DIV/0!</v>
      </c>
      <c r="T5" s="132" t="e">
        <f t="shared" si="4"/>
        <v>#DIV/0!</v>
      </c>
      <c r="U5" s="132" t="e">
        <f t="shared" si="5"/>
        <v>#DIV/0!</v>
      </c>
      <c r="V5" s="133" t="e">
        <f t="shared" si="6"/>
        <v>#DIV/0!</v>
      </c>
      <c r="W5" s="134" t="e">
        <f t="shared" si="7"/>
        <v>#DIV/0!</v>
      </c>
      <c r="X5" s="4" t="s">
        <v>30</v>
      </c>
      <c r="Y5" s="135" t="e">
        <f t="shared" si="8"/>
        <v>#DIV/0!</v>
      </c>
      <c r="Z5" s="135" t="e">
        <f t="shared" si="8"/>
        <v>#DIV/0!</v>
      </c>
      <c r="AA5" s="135" t="e">
        <f t="shared" si="8"/>
        <v>#DIV/0!</v>
      </c>
      <c r="AB5" s="135" t="e">
        <f t="shared" si="8"/>
        <v>#DIV/0!</v>
      </c>
      <c r="AC5" s="136" t="e">
        <f t="shared" si="9"/>
        <v>#DIV/0!</v>
      </c>
      <c r="AD5" s="137" t="e">
        <f t="shared" si="10"/>
        <v>#DIV/0!</v>
      </c>
      <c r="AE5" s="138"/>
      <c r="AF5" s="139" t="e">
        <f t="shared" ref="AF5:AF14" si="13">C5*0.3</f>
        <v>#DIV/0!</v>
      </c>
      <c r="AG5" s="139" t="e">
        <f t="shared" ref="AG5:AG14" si="14">D5*0.2</f>
        <v>#DIV/0!</v>
      </c>
      <c r="AH5" s="139" t="e">
        <f t="shared" ref="AH5:AH14" si="15">E5*0.3</f>
        <v>#DIV/0!</v>
      </c>
      <c r="AI5" s="139" t="e">
        <f t="shared" ref="AI5:AI14" si="16">F5*0.2</f>
        <v>#DIV/0!</v>
      </c>
      <c r="AJ5" s="139"/>
      <c r="AK5" s="139" t="e">
        <f t="shared" ref="AK5:AK14" si="17">K5*0.3</f>
        <v>#DIV/0!</v>
      </c>
      <c r="AL5" s="139" t="e">
        <f t="shared" ref="AL5:AL14" si="18">L5*0.2</f>
        <v>#DIV/0!</v>
      </c>
      <c r="AM5" s="139" t="e">
        <f t="shared" ref="AM5:AM14" si="19">M5*0.3</f>
        <v>#DIV/0!</v>
      </c>
      <c r="AN5" s="139" t="e">
        <f t="shared" ref="AN5:AN14" si="20">N5*0.2</f>
        <v>#DIV/0!</v>
      </c>
      <c r="AO5" s="53"/>
      <c r="AP5" s="53"/>
      <c r="AQ5" s="53"/>
      <c r="AR5" s="53"/>
    </row>
    <row r="6" spans="1:44" ht="20.100000000000001" customHeight="1">
      <c r="A6" s="4" t="s">
        <v>8</v>
      </c>
      <c r="B6" s="206">
        <v>1</v>
      </c>
      <c r="C6" s="119" t="e">
        <f>CONCENTRADO!B6</f>
        <v>#DIV/0!</v>
      </c>
      <c r="D6" s="119" t="e">
        <f>CONCENTRADO!C6</f>
        <v>#DIV/0!</v>
      </c>
      <c r="E6" s="119">
        <f>CONCENTRADO!D6</f>
        <v>0</v>
      </c>
      <c r="F6" s="119">
        <f>CONCENTRADO!E6</f>
        <v>100</v>
      </c>
      <c r="G6" s="131" t="e">
        <f t="shared" si="11"/>
        <v>#DIV/0!</v>
      </c>
      <c r="H6" s="201" t="e">
        <f t="shared" si="0"/>
        <v>#DIV/0!</v>
      </c>
      <c r="I6" s="104" t="s">
        <v>8</v>
      </c>
      <c r="J6" s="208">
        <v>2</v>
      </c>
      <c r="K6" s="105">
        <f>CONCENTRADO!F6</f>
        <v>100</v>
      </c>
      <c r="L6" s="105">
        <f>CONCENTRADO!G6</f>
        <v>100</v>
      </c>
      <c r="M6" s="105">
        <f>CONCENTRADO!H6</f>
        <v>80</v>
      </c>
      <c r="N6" s="105">
        <f>CONCENTRADO!I6</f>
        <v>88.888888888888886</v>
      </c>
      <c r="O6" s="131">
        <f t="shared" si="12"/>
        <v>46.819327021178438</v>
      </c>
      <c r="P6" s="201">
        <f t="shared" si="1"/>
        <v>91.820254651642614</v>
      </c>
      <c r="Q6" s="4" t="s">
        <v>8</v>
      </c>
      <c r="R6" s="132" t="e">
        <f t="shared" si="2"/>
        <v>#DIV/0!</v>
      </c>
      <c r="S6" s="132" t="e">
        <f t="shared" si="3"/>
        <v>#DIV/0!</v>
      </c>
      <c r="T6" s="132">
        <f t="shared" si="4"/>
        <v>80</v>
      </c>
      <c r="U6" s="132">
        <f t="shared" si="5"/>
        <v>-11.111111111111114</v>
      </c>
      <c r="V6" s="133" t="e">
        <f t="shared" si="6"/>
        <v>#DIV/0!</v>
      </c>
      <c r="W6" s="134" t="e">
        <f t="shared" si="7"/>
        <v>#DIV/0!</v>
      </c>
      <c r="X6" s="4" t="s">
        <v>8</v>
      </c>
      <c r="Y6" s="135" t="e">
        <f t="shared" si="8"/>
        <v>#DIV/0!</v>
      </c>
      <c r="Z6" s="135" t="e">
        <f t="shared" si="8"/>
        <v>#DIV/0!</v>
      </c>
      <c r="AA6" s="135">
        <f t="shared" si="8"/>
        <v>6.666666666666667</v>
      </c>
      <c r="AB6" s="135">
        <f t="shared" si="8"/>
        <v>-0.92592592592592615</v>
      </c>
      <c r="AC6" s="136" t="e">
        <f t="shared" si="9"/>
        <v>#DIV/0!</v>
      </c>
      <c r="AD6" s="137" t="e">
        <f t="shared" si="10"/>
        <v>#DIV/0!</v>
      </c>
      <c r="AE6" s="138"/>
      <c r="AF6" s="139" t="e">
        <f t="shared" si="13"/>
        <v>#DIV/0!</v>
      </c>
      <c r="AG6" s="139" t="e">
        <f t="shared" si="14"/>
        <v>#DIV/0!</v>
      </c>
      <c r="AH6" s="139">
        <f t="shared" si="15"/>
        <v>0</v>
      </c>
      <c r="AI6" s="139">
        <f t="shared" si="16"/>
        <v>20</v>
      </c>
      <c r="AJ6" s="139"/>
      <c r="AK6" s="139">
        <f t="shared" si="17"/>
        <v>30</v>
      </c>
      <c r="AL6" s="139">
        <f t="shared" si="18"/>
        <v>20</v>
      </c>
      <c r="AM6" s="139">
        <f t="shared" si="19"/>
        <v>24</v>
      </c>
      <c r="AN6" s="139">
        <f t="shared" si="20"/>
        <v>17.777777777777779</v>
      </c>
      <c r="AO6" s="53"/>
      <c r="AP6" s="53"/>
      <c r="AQ6" s="53"/>
      <c r="AR6" s="53"/>
    </row>
    <row r="7" spans="1:44" ht="20.100000000000001" customHeight="1">
      <c r="A7" s="4" t="s">
        <v>9</v>
      </c>
      <c r="B7" s="206">
        <v>1</v>
      </c>
      <c r="C7" s="119" t="e">
        <f>CONCENTRADO!B7</f>
        <v>#DIV/0!</v>
      </c>
      <c r="D7" s="119" t="e">
        <f>CONCENTRADO!C7</f>
        <v>#DIV/0!</v>
      </c>
      <c r="E7" s="119" t="e">
        <f>CONCENTRADO!D7</f>
        <v>#DIV/0!</v>
      </c>
      <c r="F7" s="119" t="e">
        <f>CONCENTRADO!E7</f>
        <v>#DIV/0!</v>
      </c>
      <c r="G7" s="131" t="e">
        <f t="shared" si="11"/>
        <v>#DIV/0!</v>
      </c>
      <c r="H7" s="201" t="e">
        <f t="shared" si="0"/>
        <v>#DIV/0!</v>
      </c>
      <c r="I7" s="104" t="s">
        <v>9</v>
      </c>
      <c r="J7" s="208">
        <v>2</v>
      </c>
      <c r="K7" s="105" t="e">
        <f>CONCENTRADO!F7</f>
        <v>#DIV/0!</v>
      </c>
      <c r="L7" s="105" t="e">
        <f>CONCENTRADO!G7</f>
        <v>#DIV/0!</v>
      </c>
      <c r="M7" s="105" t="e">
        <f>CONCENTRADO!H7</f>
        <v>#DIV/0!</v>
      </c>
      <c r="N7" s="105" t="e">
        <f>CONCENTRADO!I7</f>
        <v>#DIV/0!</v>
      </c>
      <c r="O7" s="131" t="e">
        <f t="shared" si="12"/>
        <v>#DIV/0!</v>
      </c>
      <c r="P7" s="201" t="e">
        <f t="shared" si="1"/>
        <v>#DIV/0!</v>
      </c>
      <c r="Q7" s="4" t="s">
        <v>9</v>
      </c>
      <c r="R7" s="132" t="e">
        <f t="shared" si="2"/>
        <v>#DIV/0!</v>
      </c>
      <c r="S7" s="132" t="e">
        <f t="shared" si="3"/>
        <v>#DIV/0!</v>
      </c>
      <c r="T7" s="132" t="e">
        <f t="shared" si="4"/>
        <v>#DIV/0!</v>
      </c>
      <c r="U7" s="132" t="e">
        <f t="shared" si="5"/>
        <v>#DIV/0!</v>
      </c>
      <c r="V7" s="133" t="e">
        <f t="shared" si="6"/>
        <v>#DIV/0!</v>
      </c>
      <c r="W7" s="134" t="e">
        <f t="shared" si="7"/>
        <v>#DIV/0!</v>
      </c>
      <c r="X7" s="4" t="s">
        <v>9</v>
      </c>
      <c r="Y7" s="135" t="e">
        <f t="shared" si="8"/>
        <v>#DIV/0!</v>
      </c>
      <c r="Z7" s="135" t="e">
        <f t="shared" si="8"/>
        <v>#DIV/0!</v>
      </c>
      <c r="AA7" s="135" t="e">
        <f t="shared" si="8"/>
        <v>#DIV/0!</v>
      </c>
      <c r="AB7" s="135" t="e">
        <f t="shared" si="8"/>
        <v>#DIV/0!</v>
      </c>
      <c r="AC7" s="136" t="e">
        <f t="shared" si="9"/>
        <v>#DIV/0!</v>
      </c>
      <c r="AD7" s="137" t="e">
        <f t="shared" si="10"/>
        <v>#DIV/0!</v>
      </c>
      <c r="AE7" s="138"/>
      <c r="AF7" s="139" t="e">
        <f t="shared" si="13"/>
        <v>#DIV/0!</v>
      </c>
      <c r="AG7" s="139" t="e">
        <f t="shared" si="14"/>
        <v>#DIV/0!</v>
      </c>
      <c r="AH7" s="139" t="e">
        <f t="shared" si="15"/>
        <v>#DIV/0!</v>
      </c>
      <c r="AI7" s="139" t="e">
        <f t="shared" si="16"/>
        <v>#DIV/0!</v>
      </c>
      <c r="AJ7" s="139"/>
      <c r="AK7" s="139" t="e">
        <f t="shared" si="17"/>
        <v>#DIV/0!</v>
      </c>
      <c r="AL7" s="139" t="e">
        <f t="shared" si="18"/>
        <v>#DIV/0!</v>
      </c>
      <c r="AM7" s="139" t="e">
        <f t="shared" si="19"/>
        <v>#DIV/0!</v>
      </c>
      <c r="AN7" s="139" t="e">
        <f t="shared" si="20"/>
        <v>#DIV/0!</v>
      </c>
      <c r="AO7" s="53"/>
      <c r="AP7" s="53"/>
      <c r="AQ7" s="53"/>
      <c r="AR7" s="53"/>
    </row>
    <row r="8" spans="1:44" ht="20.100000000000001" customHeight="1">
      <c r="A8" s="4" t="s">
        <v>10</v>
      </c>
      <c r="B8" s="206">
        <v>1</v>
      </c>
      <c r="C8" s="119" t="e">
        <f>CONCENTRADO!B8</f>
        <v>#DIV/0!</v>
      </c>
      <c r="D8" s="119" t="e">
        <f>CONCENTRADO!C8</f>
        <v>#DIV/0!</v>
      </c>
      <c r="E8" s="119" t="e">
        <f>CONCENTRADO!D8</f>
        <v>#DIV/0!</v>
      </c>
      <c r="F8" s="119" t="e">
        <f>CONCENTRADO!E8</f>
        <v>#DIV/0!</v>
      </c>
      <c r="G8" s="131" t="e">
        <f t="shared" si="11"/>
        <v>#DIV/0!</v>
      </c>
      <c r="H8" s="201" t="e">
        <f t="shared" si="0"/>
        <v>#DIV/0!</v>
      </c>
      <c r="I8" s="104" t="s">
        <v>10</v>
      </c>
      <c r="J8" s="208">
        <v>2</v>
      </c>
      <c r="K8" s="105" t="e">
        <f>CONCENTRADO!F8</f>
        <v>#DIV/0!</v>
      </c>
      <c r="L8" s="105" t="e">
        <f>CONCENTRADO!G8</f>
        <v>#DIV/0!</v>
      </c>
      <c r="M8" s="105" t="e">
        <f>CONCENTRADO!H8</f>
        <v>#DIV/0!</v>
      </c>
      <c r="N8" s="105" t="e">
        <f>CONCENTRADO!I8</f>
        <v>#DIV/0!</v>
      </c>
      <c r="O8" s="131" t="e">
        <f t="shared" si="12"/>
        <v>#DIV/0!</v>
      </c>
      <c r="P8" s="201" t="e">
        <f t="shared" si="1"/>
        <v>#DIV/0!</v>
      </c>
      <c r="Q8" s="4" t="s">
        <v>10</v>
      </c>
      <c r="R8" s="132" t="e">
        <f t="shared" si="2"/>
        <v>#DIV/0!</v>
      </c>
      <c r="S8" s="132" t="e">
        <f t="shared" si="3"/>
        <v>#DIV/0!</v>
      </c>
      <c r="T8" s="132" t="e">
        <f t="shared" si="4"/>
        <v>#DIV/0!</v>
      </c>
      <c r="U8" s="132" t="e">
        <f t="shared" si="5"/>
        <v>#DIV/0!</v>
      </c>
      <c r="V8" s="133" t="e">
        <f t="shared" si="6"/>
        <v>#DIV/0!</v>
      </c>
      <c r="W8" s="134" t="e">
        <f t="shared" si="7"/>
        <v>#DIV/0!</v>
      </c>
      <c r="X8" s="4" t="s">
        <v>10</v>
      </c>
      <c r="Y8" s="135" t="e">
        <f t="shared" si="8"/>
        <v>#DIV/0!</v>
      </c>
      <c r="Z8" s="135" t="e">
        <f t="shared" si="8"/>
        <v>#DIV/0!</v>
      </c>
      <c r="AA8" s="135" t="e">
        <f t="shared" si="8"/>
        <v>#DIV/0!</v>
      </c>
      <c r="AB8" s="135" t="e">
        <f t="shared" si="8"/>
        <v>#DIV/0!</v>
      </c>
      <c r="AC8" s="136" t="e">
        <f t="shared" si="9"/>
        <v>#DIV/0!</v>
      </c>
      <c r="AD8" s="137" t="e">
        <f t="shared" si="10"/>
        <v>#DIV/0!</v>
      </c>
      <c r="AE8" s="138"/>
      <c r="AF8" s="139" t="e">
        <f t="shared" si="13"/>
        <v>#DIV/0!</v>
      </c>
      <c r="AG8" s="139" t="e">
        <f t="shared" si="14"/>
        <v>#DIV/0!</v>
      </c>
      <c r="AH8" s="139" t="e">
        <f t="shared" si="15"/>
        <v>#DIV/0!</v>
      </c>
      <c r="AI8" s="139" t="e">
        <f t="shared" si="16"/>
        <v>#DIV/0!</v>
      </c>
      <c r="AJ8" s="139"/>
      <c r="AK8" s="139" t="e">
        <f t="shared" si="17"/>
        <v>#DIV/0!</v>
      </c>
      <c r="AL8" s="139" t="e">
        <f t="shared" si="18"/>
        <v>#DIV/0!</v>
      </c>
      <c r="AM8" s="139" t="e">
        <f t="shared" si="19"/>
        <v>#DIV/0!</v>
      </c>
      <c r="AN8" s="139" t="e">
        <f t="shared" si="20"/>
        <v>#DIV/0!</v>
      </c>
      <c r="AO8" s="53"/>
      <c r="AP8" s="53"/>
      <c r="AQ8" s="53"/>
      <c r="AR8" s="53"/>
    </row>
    <row r="9" spans="1:44" ht="20.100000000000001" customHeight="1">
      <c r="A9" s="4" t="s">
        <v>11</v>
      </c>
      <c r="B9" s="206">
        <v>1</v>
      </c>
      <c r="C9" s="119" t="e">
        <f>CONCENTRADO!B9</f>
        <v>#DIV/0!</v>
      </c>
      <c r="D9" s="119" t="e">
        <f>CONCENTRADO!C9</f>
        <v>#DIV/0!</v>
      </c>
      <c r="E9" s="119" t="e">
        <f>CONCENTRADO!D9</f>
        <v>#DIV/0!</v>
      </c>
      <c r="F9" s="119" t="e">
        <f>CONCENTRADO!E9</f>
        <v>#DIV/0!</v>
      </c>
      <c r="G9" s="131" t="e">
        <f t="shared" si="11"/>
        <v>#DIV/0!</v>
      </c>
      <c r="H9" s="201" t="e">
        <f t="shared" si="0"/>
        <v>#DIV/0!</v>
      </c>
      <c r="I9" s="104" t="s">
        <v>11</v>
      </c>
      <c r="J9" s="208">
        <v>2</v>
      </c>
      <c r="K9" s="105" t="e">
        <f>CONCENTRADO!F9</f>
        <v>#DIV/0!</v>
      </c>
      <c r="L9" s="105" t="e">
        <f>CONCENTRADO!G9</f>
        <v>#DIV/0!</v>
      </c>
      <c r="M9" s="105" t="e">
        <f>CONCENTRADO!H9</f>
        <v>#DIV/0!</v>
      </c>
      <c r="N9" s="105" t="e">
        <f>CONCENTRADO!I9</f>
        <v>#DIV/0!</v>
      </c>
      <c r="O9" s="131" t="e">
        <f t="shared" si="12"/>
        <v>#DIV/0!</v>
      </c>
      <c r="P9" s="201" t="e">
        <f t="shared" si="1"/>
        <v>#DIV/0!</v>
      </c>
      <c r="Q9" s="4" t="s">
        <v>11</v>
      </c>
      <c r="R9" s="132" t="e">
        <f t="shared" si="2"/>
        <v>#DIV/0!</v>
      </c>
      <c r="S9" s="132" t="e">
        <f t="shared" si="3"/>
        <v>#DIV/0!</v>
      </c>
      <c r="T9" s="132" t="e">
        <f t="shared" si="4"/>
        <v>#DIV/0!</v>
      </c>
      <c r="U9" s="132" t="e">
        <f t="shared" si="5"/>
        <v>#DIV/0!</v>
      </c>
      <c r="V9" s="133" t="e">
        <f t="shared" si="6"/>
        <v>#DIV/0!</v>
      </c>
      <c r="W9" s="134" t="e">
        <f t="shared" si="7"/>
        <v>#DIV/0!</v>
      </c>
      <c r="X9" s="4" t="s">
        <v>11</v>
      </c>
      <c r="Y9" s="135" t="e">
        <f t="shared" si="8"/>
        <v>#DIV/0!</v>
      </c>
      <c r="Z9" s="135" t="e">
        <f t="shared" si="8"/>
        <v>#DIV/0!</v>
      </c>
      <c r="AA9" s="135" t="e">
        <f t="shared" si="8"/>
        <v>#DIV/0!</v>
      </c>
      <c r="AB9" s="135" t="e">
        <f t="shared" si="8"/>
        <v>#DIV/0!</v>
      </c>
      <c r="AC9" s="136" t="e">
        <f t="shared" si="9"/>
        <v>#DIV/0!</v>
      </c>
      <c r="AD9" s="137" t="e">
        <f t="shared" si="10"/>
        <v>#DIV/0!</v>
      </c>
      <c r="AE9" s="138"/>
      <c r="AF9" s="139" t="e">
        <f t="shared" si="13"/>
        <v>#DIV/0!</v>
      </c>
      <c r="AG9" s="139" t="e">
        <f t="shared" si="14"/>
        <v>#DIV/0!</v>
      </c>
      <c r="AH9" s="139" t="e">
        <f t="shared" si="15"/>
        <v>#DIV/0!</v>
      </c>
      <c r="AI9" s="139" t="e">
        <f t="shared" si="16"/>
        <v>#DIV/0!</v>
      </c>
      <c r="AJ9" s="139"/>
      <c r="AK9" s="139" t="e">
        <f t="shared" si="17"/>
        <v>#DIV/0!</v>
      </c>
      <c r="AL9" s="139" t="e">
        <f t="shared" si="18"/>
        <v>#DIV/0!</v>
      </c>
      <c r="AM9" s="139" t="e">
        <f t="shared" si="19"/>
        <v>#DIV/0!</v>
      </c>
      <c r="AN9" s="139" t="e">
        <f t="shared" si="20"/>
        <v>#DIV/0!</v>
      </c>
      <c r="AO9" s="53"/>
      <c r="AP9" s="53"/>
      <c r="AQ9" s="53"/>
      <c r="AR9" s="53"/>
    </row>
    <row r="10" spans="1:44" ht="20.100000000000001" customHeight="1">
      <c r="A10" s="4" t="s">
        <v>12</v>
      </c>
      <c r="B10" s="206">
        <v>1</v>
      </c>
      <c r="C10" s="119">
        <f>CONCENTRADO!B10</f>
        <v>100</v>
      </c>
      <c r="D10" s="119">
        <f>CONCENTRADO!C10</f>
        <v>100</v>
      </c>
      <c r="E10" s="119">
        <f>CONCENTRADO!D10</f>
        <v>100</v>
      </c>
      <c r="F10" s="119">
        <f>CONCENTRADO!E10</f>
        <v>100</v>
      </c>
      <c r="G10" s="131">
        <f t="shared" si="11"/>
        <v>50.990195135927848</v>
      </c>
      <c r="H10" s="201">
        <f t="shared" si="0"/>
        <v>100</v>
      </c>
      <c r="I10" s="104" t="s">
        <v>12</v>
      </c>
      <c r="J10" s="208">
        <v>2</v>
      </c>
      <c r="K10" s="105" t="e">
        <f>CONCENTRADO!F10</f>
        <v>#DIV/0!</v>
      </c>
      <c r="L10" s="105" t="e">
        <f>CONCENTRADO!G10</f>
        <v>#DIV/0!</v>
      </c>
      <c r="M10" s="105">
        <f>CONCENTRADO!H10</f>
        <v>100</v>
      </c>
      <c r="N10" s="105">
        <f>CONCENTRADO!I10</f>
        <v>100</v>
      </c>
      <c r="O10" s="131" t="e">
        <f t="shared" si="12"/>
        <v>#DIV/0!</v>
      </c>
      <c r="P10" s="201" t="e">
        <f t="shared" si="1"/>
        <v>#DIV/0!</v>
      </c>
      <c r="Q10" s="4" t="s">
        <v>12</v>
      </c>
      <c r="R10" s="132" t="e">
        <f t="shared" si="2"/>
        <v>#DIV/0!</v>
      </c>
      <c r="S10" s="132" t="e">
        <f t="shared" si="3"/>
        <v>#DIV/0!</v>
      </c>
      <c r="T10" s="132">
        <f t="shared" si="4"/>
        <v>0</v>
      </c>
      <c r="U10" s="132">
        <f t="shared" si="5"/>
        <v>0</v>
      </c>
      <c r="V10" s="133" t="e">
        <f t="shared" si="6"/>
        <v>#DIV/0!</v>
      </c>
      <c r="W10" s="134" t="e">
        <f t="shared" si="7"/>
        <v>#DIV/0!</v>
      </c>
      <c r="X10" s="4" t="s">
        <v>12</v>
      </c>
      <c r="Y10" s="135" t="e">
        <f t="shared" si="8"/>
        <v>#DIV/0!</v>
      </c>
      <c r="Z10" s="135" t="e">
        <f t="shared" si="8"/>
        <v>#DIV/0!</v>
      </c>
      <c r="AA10" s="135">
        <f t="shared" si="8"/>
        <v>0</v>
      </c>
      <c r="AB10" s="135">
        <f t="shared" si="8"/>
        <v>0</v>
      </c>
      <c r="AC10" s="136" t="e">
        <f t="shared" si="9"/>
        <v>#DIV/0!</v>
      </c>
      <c r="AD10" s="137" t="e">
        <f t="shared" si="10"/>
        <v>#DIV/0!</v>
      </c>
      <c r="AE10" s="138"/>
      <c r="AF10" s="139">
        <f t="shared" si="13"/>
        <v>30</v>
      </c>
      <c r="AG10" s="139">
        <f t="shared" si="14"/>
        <v>20</v>
      </c>
      <c r="AH10" s="139">
        <f t="shared" si="15"/>
        <v>30</v>
      </c>
      <c r="AI10" s="139">
        <f t="shared" si="16"/>
        <v>20</v>
      </c>
      <c r="AJ10" s="139"/>
      <c r="AK10" s="139" t="e">
        <f t="shared" si="17"/>
        <v>#DIV/0!</v>
      </c>
      <c r="AL10" s="139" t="e">
        <f t="shared" si="18"/>
        <v>#DIV/0!</v>
      </c>
      <c r="AM10" s="139">
        <f t="shared" si="19"/>
        <v>30</v>
      </c>
      <c r="AN10" s="139">
        <f t="shared" si="20"/>
        <v>20</v>
      </c>
      <c r="AO10" s="53"/>
      <c r="AP10" s="53"/>
      <c r="AQ10" s="53"/>
      <c r="AR10" s="53"/>
    </row>
    <row r="11" spans="1:44" ht="20.100000000000001" customHeight="1">
      <c r="A11" s="4" t="s">
        <v>13</v>
      </c>
      <c r="B11" s="206">
        <v>1</v>
      </c>
      <c r="C11" s="119" t="e">
        <f>CONCENTRADO!B11</f>
        <v>#DIV/0!</v>
      </c>
      <c r="D11" s="119" t="e">
        <f>CONCENTRADO!C11</f>
        <v>#DIV/0!</v>
      </c>
      <c r="E11" s="119">
        <f>CONCENTRADO!D11</f>
        <v>0</v>
      </c>
      <c r="F11" s="119">
        <f>CONCENTRADO!E11</f>
        <v>82.142857142857139</v>
      </c>
      <c r="G11" s="131" t="e">
        <f t="shared" si="11"/>
        <v>#DIV/0!</v>
      </c>
      <c r="H11" s="201" t="e">
        <f t="shared" si="0"/>
        <v>#DIV/0!</v>
      </c>
      <c r="I11" s="104" t="s">
        <v>13</v>
      </c>
      <c r="J11" s="208">
        <v>2</v>
      </c>
      <c r="K11" s="105">
        <f>CONCENTRADO!F11</f>
        <v>50</v>
      </c>
      <c r="L11" s="105">
        <f>CONCENTRADO!G11</f>
        <v>100</v>
      </c>
      <c r="M11" s="105">
        <f>CONCENTRADO!H11</f>
        <v>40</v>
      </c>
      <c r="N11" s="105">
        <f>CONCENTRADO!I11</f>
        <v>53.846153846153847</v>
      </c>
      <c r="O11" s="131">
        <f t="shared" si="12"/>
        <v>29.748551752328158</v>
      </c>
      <c r="P11" s="201">
        <f t="shared" si="1"/>
        <v>58.341709956248501</v>
      </c>
      <c r="Q11" s="4" t="s">
        <v>13</v>
      </c>
      <c r="R11" s="132" t="e">
        <f t="shared" si="2"/>
        <v>#DIV/0!</v>
      </c>
      <c r="S11" s="132" t="e">
        <f t="shared" si="3"/>
        <v>#DIV/0!</v>
      </c>
      <c r="T11" s="132">
        <f t="shared" si="4"/>
        <v>40</v>
      </c>
      <c r="U11" s="132">
        <f t="shared" si="5"/>
        <v>-28.296703296703292</v>
      </c>
      <c r="V11" s="133" t="e">
        <f t="shared" si="6"/>
        <v>#DIV/0!</v>
      </c>
      <c r="W11" s="134" t="e">
        <f t="shared" si="7"/>
        <v>#DIV/0!</v>
      </c>
      <c r="X11" s="4" t="s">
        <v>13</v>
      </c>
      <c r="Y11" s="135" t="e">
        <f t="shared" si="8"/>
        <v>#DIV/0!</v>
      </c>
      <c r="Z11" s="135" t="e">
        <f t="shared" si="8"/>
        <v>#DIV/0!</v>
      </c>
      <c r="AA11" s="135">
        <f t="shared" si="8"/>
        <v>3.3333333333333335</v>
      </c>
      <c r="AB11" s="135">
        <f t="shared" si="8"/>
        <v>-2.3580586080586077</v>
      </c>
      <c r="AC11" s="136" t="e">
        <f t="shared" si="9"/>
        <v>#DIV/0!</v>
      </c>
      <c r="AD11" s="137" t="e">
        <f t="shared" si="10"/>
        <v>#DIV/0!</v>
      </c>
      <c r="AE11" s="138"/>
      <c r="AF11" s="139" t="e">
        <f t="shared" si="13"/>
        <v>#DIV/0!</v>
      </c>
      <c r="AG11" s="139" t="e">
        <f t="shared" si="14"/>
        <v>#DIV/0!</v>
      </c>
      <c r="AH11" s="139">
        <f t="shared" si="15"/>
        <v>0</v>
      </c>
      <c r="AI11" s="139">
        <f t="shared" si="16"/>
        <v>16.428571428571427</v>
      </c>
      <c r="AJ11" s="139"/>
      <c r="AK11" s="139">
        <f t="shared" si="17"/>
        <v>15</v>
      </c>
      <c r="AL11" s="139">
        <f t="shared" si="18"/>
        <v>20</v>
      </c>
      <c r="AM11" s="139">
        <f t="shared" si="19"/>
        <v>12</v>
      </c>
      <c r="AN11" s="139">
        <f t="shared" si="20"/>
        <v>10.76923076923077</v>
      </c>
      <c r="AO11" s="53"/>
      <c r="AP11" s="53"/>
      <c r="AQ11" s="53"/>
      <c r="AR11" s="53"/>
    </row>
    <row r="12" spans="1:44" ht="20.100000000000001" customHeight="1">
      <c r="A12" s="4" t="s">
        <v>14</v>
      </c>
      <c r="B12" s="206">
        <v>1</v>
      </c>
      <c r="C12" s="119" t="e">
        <f>CONCENTRADO!B12</f>
        <v>#DIV/0!</v>
      </c>
      <c r="D12" s="119" t="e">
        <f>CONCENTRADO!C12</f>
        <v>#DIV/0!</v>
      </c>
      <c r="E12" s="119" t="e">
        <f>CONCENTRADO!D12</f>
        <v>#DIV/0!</v>
      </c>
      <c r="F12" s="119" t="e">
        <f>CONCENTRADO!E12</f>
        <v>#DIV/0!</v>
      </c>
      <c r="G12" s="131" t="e">
        <f t="shared" si="11"/>
        <v>#DIV/0!</v>
      </c>
      <c r="H12" s="201" t="e">
        <f t="shared" si="0"/>
        <v>#DIV/0!</v>
      </c>
      <c r="I12" s="104" t="s">
        <v>14</v>
      </c>
      <c r="J12" s="208">
        <v>2</v>
      </c>
      <c r="K12" s="105" t="e">
        <f>CONCENTRADO!F12</f>
        <v>#DIV/0!</v>
      </c>
      <c r="L12" s="105" t="e">
        <f>CONCENTRADO!G12</f>
        <v>#DIV/0!</v>
      </c>
      <c r="M12" s="105" t="e">
        <f>CONCENTRADO!H12</f>
        <v>#DIV/0!</v>
      </c>
      <c r="N12" s="105" t="e">
        <f>CONCENTRADO!I12</f>
        <v>#DIV/0!</v>
      </c>
      <c r="O12" s="131" t="e">
        <f t="shared" si="12"/>
        <v>#DIV/0!</v>
      </c>
      <c r="P12" s="201" t="e">
        <f t="shared" si="1"/>
        <v>#DIV/0!</v>
      </c>
      <c r="Q12" s="4" t="s">
        <v>14</v>
      </c>
      <c r="R12" s="132" t="e">
        <f t="shared" si="2"/>
        <v>#DIV/0!</v>
      </c>
      <c r="S12" s="132" t="e">
        <f t="shared" si="3"/>
        <v>#DIV/0!</v>
      </c>
      <c r="T12" s="132" t="e">
        <f t="shared" si="4"/>
        <v>#DIV/0!</v>
      </c>
      <c r="U12" s="132" t="e">
        <f t="shared" si="5"/>
        <v>#DIV/0!</v>
      </c>
      <c r="V12" s="133" t="e">
        <f t="shared" si="6"/>
        <v>#DIV/0!</v>
      </c>
      <c r="W12" s="134" t="e">
        <f t="shared" si="7"/>
        <v>#DIV/0!</v>
      </c>
      <c r="X12" s="4" t="s">
        <v>14</v>
      </c>
      <c r="Y12" s="135" t="e">
        <f t="shared" si="8"/>
        <v>#DIV/0!</v>
      </c>
      <c r="Z12" s="135" t="e">
        <f t="shared" si="8"/>
        <v>#DIV/0!</v>
      </c>
      <c r="AA12" s="135" t="e">
        <f t="shared" si="8"/>
        <v>#DIV/0!</v>
      </c>
      <c r="AB12" s="135" t="e">
        <f t="shared" si="8"/>
        <v>#DIV/0!</v>
      </c>
      <c r="AC12" s="136" t="e">
        <f t="shared" si="9"/>
        <v>#DIV/0!</v>
      </c>
      <c r="AD12" s="137" t="e">
        <f t="shared" si="10"/>
        <v>#DIV/0!</v>
      </c>
      <c r="AE12" s="138"/>
      <c r="AF12" s="139" t="e">
        <f t="shared" si="13"/>
        <v>#DIV/0!</v>
      </c>
      <c r="AG12" s="139" t="e">
        <f t="shared" si="14"/>
        <v>#DIV/0!</v>
      </c>
      <c r="AH12" s="139" t="e">
        <f t="shared" si="15"/>
        <v>#DIV/0!</v>
      </c>
      <c r="AI12" s="139" t="e">
        <f t="shared" si="16"/>
        <v>#DIV/0!</v>
      </c>
      <c r="AJ12" s="139"/>
      <c r="AK12" s="139" t="e">
        <f t="shared" si="17"/>
        <v>#DIV/0!</v>
      </c>
      <c r="AL12" s="139" t="e">
        <f t="shared" si="18"/>
        <v>#DIV/0!</v>
      </c>
      <c r="AM12" s="139" t="e">
        <f t="shared" si="19"/>
        <v>#DIV/0!</v>
      </c>
      <c r="AN12" s="139" t="e">
        <f t="shared" si="20"/>
        <v>#DIV/0!</v>
      </c>
      <c r="AO12" s="53"/>
      <c r="AP12" s="53"/>
      <c r="AQ12" s="53"/>
      <c r="AR12" s="53"/>
    </row>
    <row r="13" spans="1:44" ht="20.100000000000001" customHeight="1">
      <c r="A13" s="4" t="s">
        <v>15</v>
      </c>
      <c r="B13" s="206">
        <v>1</v>
      </c>
      <c r="C13" s="119" t="e">
        <f>CONCENTRADO!B13</f>
        <v>#DIV/0!</v>
      </c>
      <c r="D13" s="119" t="e">
        <f>CONCENTRADO!C13</f>
        <v>#DIV/0!</v>
      </c>
      <c r="E13" s="119" t="e">
        <f>CONCENTRADO!D13</f>
        <v>#DIV/0!</v>
      </c>
      <c r="F13" s="119" t="e">
        <f>CONCENTRADO!E13</f>
        <v>#DIV/0!</v>
      </c>
      <c r="G13" s="131" t="e">
        <f t="shared" si="11"/>
        <v>#DIV/0!</v>
      </c>
      <c r="H13" s="201" t="e">
        <f t="shared" si="0"/>
        <v>#DIV/0!</v>
      </c>
      <c r="I13" s="104" t="s">
        <v>15</v>
      </c>
      <c r="J13" s="208">
        <v>2</v>
      </c>
      <c r="K13" s="105" t="e">
        <f>CONCENTRADO!F13</f>
        <v>#DIV/0!</v>
      </c>
      <c r="L13" s="105" t="e">
        <f>CONCENTRADO!G13</f>
        <v>#DIV/0!</v>
      </c>
      <c r="M13" s="105" t="e">
        <f>CONCENTRADO!H13</f>
        <v>#DIV/0!</v>
      </c>
      <c r="N13" s="105" t="e">
        <f>CONCENTRADO!I13</f>
        <v>#DIV/0!</v>
      </c>
      <c r="O13" s="131" t="e">
        <f t="shared" si="12"/>
        <v>#DIV/0!</v>
      </c>
      <c r="P13" s="201" t="e">
        <f t="shared" si="1"/>
        <v>#DIV/0!</v>
      </c>
      <c r="Q13" s="4" t="s">
        <v>15</v>
      </c>
      <c r="R13" s="132" t="e">
        <f t="shared" si="2"/>
        <v>#DIV/0!</v>
      </c>
      <c r="S13" s="132" t="e">
        <f t="shared" si="3"/>
        <v>#DIV/0!</v>
      </c>
      <c r="T13" s="132" t="e">
        <f t="shared" si="4"/>
        <v>#DIV/0!</v>
      </c>
      <c r="U13" s="132" t="e">
        <f t="shared" si="5"/>
        <v>#DIV/0!</v>
      </c>
      <c r="V13" s="133" t="e">
        <f t="shared" si="6"/>
        <v>#DIV/0!</v>
      </c>
      <c r="W13" s="134" t="e">
        <f t="shared" si="7"/>
        <v>#DIV/0!</v>
      </c>
      <c r="X13" s="4" t="s">
        <v>15</v>
      </c>
      <c r="Y13" s="135" t="e">
        <f t="shared" si="8"/>
        <v>#DIV/0!</v>
      </c>
      <c r="Z13" s="135" t="e">
        <f t="shared" si="8"/>
        <v>#DIV/0!</v>
      </c>
      <c r="AA13" s="135" t="e">
        <f t="shared" si="8"/>
        <v>#DIV/0!</v>
      </c>
      <c r="AB13" s="135" t="e">
        <f t="shared" si="8"/>
        <v>#DIV/0!</v>
      </c>
      <c r="AC13" s="136" t="e">
        <f t="shared" si="9"/>
        <v>#DIV/0!</v>
      </c>
      <c r="AD13" s="137" t="e">
        <f t="shared" si="10"/>
        <v>#DIV/0!</v>
      </c>
      <c r="AE13" s="138"/>
      <c r="AF13" s="139" t="e">
        <f t="shared" si="13"/>
        <v>#DIV/0!</v>
      </c>
      <c r="AG13" s="139" t="e">
        <f t="shared" si="14"/>
        <v>#DIV/0!</v>
      </c>
      <c r="AH13" s="139" t="e">
        <f t="shared" si="15"/>
        <v>#DIV/0!</v>
      </c>
      <c r="AI13" s="139" t="e">
        <f t="shared" si="16"/>
        <v>#DIV/0!</v>
      </c>
      <c r="AJ13" s="139"/>
      <c r="AK13" s="139" t="e">
        <f t="shared" si="17"/>
        <v>#DIV/0!</v>
      </c>
      <c r="AL13" s="139" t="e">
        <f t="shared" si="18"/>
        <v>#DIV/0!</v>
      </c>
      <c r="AM13" s="139" t="e">
        <f t="shared" si="19"/>
        <v>#DIV/0!</v>
      </c>
      <c r="AN13" s="139" t="e">
        <f t="shared" si="20"/>
        <v>#DIV/0!</v>
      </c>
      <c r="AO13" s="53"/>
      <c r="AP13" s="53"/>
      <c r="AQ13" s="53"/>
      <c r="AR13" s="53"/>
    </row>
    <row r="14" spans="1:44" ht="20.100000000000001" customHeight="1">
      <c r="A14" s="106" t="s">
        <v>16</v>
      </c>
      <c r="B14" s="207">
        <v>1</v>
      </c>
      <c r="C14" s="107" t="e">
        <f>SUM(C4:C13)/10</f>
        <v>#DIV/0!</v>
      </c>
      <c r="D14" s="107" t="e">
        <f>SUM(D4:D13)/10</f>
        <v>#DIV/0!</v>
      </c>
      <c r="E14" s="107" t="e">
        <f>SUM(E4:E13)/10</f>
        <v>#DIV/0!</v>
      </c>
      <c r="F14" s="107" t="e">
        <f>SUM(F4:F13)/10</f>
        <v>#DIV/0!</v>
      </c>
      <c r="G14" s="107" t="e">
        <f>SQRT(SUMSQ(AF14:AI14))</f>
        <v>#DIV/0!</v>
      </c>
      <c r="H14" s="107" t="e">
        <f t="shared" si="0"/>
        <v>#DIV/0!</v>
      </c>
      <c r="I14" s="16" t="s">
        <v>16</v>
      </c>
      <c r="J14" s="207">
        <v>2</v>
      </c>
      <c r="K14" s="107" t="e">
        <f>SUM(K4:K13)/10</f>
        <v>#DIV/0!</v>
      </c>
      <c r="L14" s="107" t="e">
        <f>SUM(L4:L13)/10</f>
        <v>#DIV/0!</v>
      </c>
      <c r="M14" s="107" t="e">
        <f>SUM(M4:M13)/10</f>
        <v>#DIV/0!</v>
      </c>
      <c r="N14" s="107" t="e">
        <f>SUM(N4:N13)/10</f>
        <v>#DIV/0!</v>
      </c>
      <c r="O14" s="186" t="e">
        <f t="shared" si="12"/>
        <v>#DIV/0!</v>
      </c>
      <c r="P14" s="226" t="e">
        <f t="shared" si="1"/>
        <v>#DIV/0!</v>
      </c>
      <c r="Q14" s="16" t="s">
        <v>16</v>
      </c>
      <c r="R14" s="132" t="e">
        <f t="shared" si="2"/>
        <v>#DIV/0!</v>
      </c>
      <c r="S14" s="132" t="e">
        <f t="shared" si="3"/>
        <v>#DIV/0!</v>
      </c>
      <c r="T14" s="132" t="e">
        <f t="shared" si="4"/>
        <v>#DIV/0!</v>
      </c>
      <c r="U14" s="132" t="e">
        <f t="shared" si="5"/>
        <v>#DIV/0!</v>
      </c>
      <c r="V14" s="133" t="e">
        <f t="shared" si="6"/>
        <v>#DIV/0!</v>
      </c>
      <c r="W14" s="134" t="e">
        <f t="shared" si="7"/>
        <v>#DIV/0!</v>
      </c>
      <c r="X14" s="16" t="s">
        <v>16</v>
      </c>
      <c r="Y14" s="135" t="e">
        <f t="shared" si="8"/>
        <v>#DIV/0!</v>
      </c>
      <c r="Z14" s="135" t="e">
        <f t="shared" si="8"/>
        <v>#DIV/0!</v>
      </c>
      <c r="AA14" s="135" t="e">
        <f t="shared" si="8"/>
        <v>#DIV/0!</v>
      </c>
      <c r="AB14" s="135" t="e">
        <f t="shared" si="8"/>
        <v>#DIV/0!</v>
      </c>
      <c r="AC14" s="136" t="e">
        <f t="shared" si="9"/>
        <v>#DIV/0!</v>
      </c>
      <c r="AD14" s="137" t="e">
        <f t="shared" si="10"/>
        <v>#DIV/0!</v>
      </c>
      <c r="AE14" s="138"/>
      <c r="AF14" s="139" t="e">
        <f t="shared" si="13"/>
        <v>#DIV/0!</v>
      </c>
      <c r="AG14" s="139" t="e">
        <f t="shared" si="14"/>
        <v>#DIV/0!</v>
      </c>
      <c r="AH14" s="139" t="e">
        <f t="shared" si="15"/>
        <v>#DIV/0!</v>
      </c>
      <c r="AI14" s="139" t="e">
        <f t="shared" si="16"/>
        <v>#DIV/0!</v>
      </c>
      <c r="AJ14" s="139"/>
      <c r="AK14" s="139" t="e">
        <f t="shared" si="17"/>
        <v>#DIV/0!</v>
      </c>
      <c r="AL14" s="139" t="e">
        <f t="shared" si="18"/>
        <v>#DIV/0!</v>
      </c>
      <c r="AM14" s="139" t="e">
        <f t="shared" si="19"/>
        <v>#DIV/0!</v>
      </c>
      <c r="AN14" s="139" t="e">
        <f t="shared" si="20"/>
        <v>#DIV/0!</v>
      </c>
      <c r="AO14" s="53"/>
      <c r="AP14" s="53"/>
      <c r="AQ14" s="53"/>
      <c r="AR14" s="53"/>
    </row>
    <row r="15" spans="1:44" ht="20.100000000000001" hidden="1" customHeight="1">
      <c r="A15" s="122" t="s">
        <v>4</v>
      </c>
      <c r="B15" s="122"/>
      <c r="C15" s="124">
        <v>30</v>
      </c>
      <c r="D15" s="124">
        <v>20</v>
      </c>
      <c r="E15" s="124">
        <v>30</v>
      </c>
      <c r="F15" s="124">
        <v>20</v>
      </c>
      <c r="G15" s="124">
        <f>SQRT(SUMSQ(C15:F15))</f>
        <v>50.990195135927848</v>
      </c>
      <c r="H15" s="125"/>
      <c r="I15" s="122" t="s">
        <v>4</v>
      </c>
      <c r="J15" s="122"/>
      <c r="K15" s="123">
        <v>30</v>
      </c>
      <c r="L15" s="123">
        <v>20</v>
      </c>
      <c r="M15" s="123">
        <v>30</v>
      </c>
      <c r="N15" s="123">
        <v>20</v>
      </c>
      <c r="O15" s="143">
        <f>SQRT(SUMSQ(K15:N15))</f>
        <v>50.990195135927848</v>
      </c>
      <c r="P15" s="140"/>
      <c r="Q15" s="141"/>
      <c r="R15" s="141"/>
      <c r="S15" s="141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27"/>
      <c r="AM15" s="127"/>
      <c r="AN15" s="127"/>
    </row>
    <row r="16" spans="1:44" s="5" customFormat="1" ht="12.95" hidden="1" customHeight="1">
      <c r="A16" s="6"/>
      <c r="B16" s="6"/>
      <c r="C16" s="6"/>
      <c r="D16" s="6"/>
      <c r="E16" s="7"/>
      <c r="F16" s="7"/>
      <c r="G16" s="7"/>
      <c r="H16" s="7"/>
      <c r="I16" s="7"/>
      <c r="J16" s="7"/>
      <c r="K16" s="7"/>
      <c r="L16" s="7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24" s="5" customFormat="1" ht="12.95" hidden="1" customHeight="1">
      <c r="A17" s="3"/>
      <c r="B17" s="3"/>
      <c r="C17" s="3"/>
      <c r="D17" s="3"/>
      <c r="E17" s="3" t="s">
        <v>5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8"/>
      <c r="X17" s="8"/>
    </row>
    <row r="18" spans="1:24" s="5" customFormat="1" ht="38.25" hidden="1" customHeight="1">
      <c r="A18" s="3" t="str">
        <f>Q3</f>
        <v>Jurisdicción Sanitaria</v>
      </c>
      <c r="B18" s="3"/>
      <c r="C18" s="38" t="str">
        <f>B2</f>
        <v>1er. Semestre 2012</v>
      </c>
      <c r="D18" s="38" t="str">
        <f>J2</f>
        <v>1er. Semestre 2013</v>
      </c>
      <c r="E18" s="37" t="str">
        <f t="shared" ref="E18:E29" si="21">W3</f>
        <v>Indice de comparación vectorial</v>
      </c>
      <c r="F18" s="37" t="str">
        <f t="shared" ref="F18:F29" si="22">R3</f>
        <v>Diagnóstico Oportuno</v>
      </c>
      <c r="G18" s="37" t="str">
        <f t="shared" ref="G18:G29" si="23">S3</f>
        <v>Calidad en el Diagnóstico</v>
      </c>
      <c r="H18" s="37" t="str">
        <f t="shared" ref="H18:H29" si="24">T3</f>
        <v>Cobertura del Tratamiento</v>
      </c>
      <c r="I18" s="37" t="str">
        <f t="shared" ref="I18:I29" si="25">U3</f>
        <v>Examen de Contactos</v>
      </c>
      <c r="J18" s="37" t="str">
        <f t="shared" ref="J18:J29" si="26">AC3</f>
        <v>Velocidad de cambio Magnitud vectorial</v>
      </c>
      <c r="K18" s="38" t="str">
        <f t="shared" ref="K18:K29" si="27">Y3</f>
        <v>Diagnóstico Oportuno</v>
      </c>
      <c r="L18" s="38" t="str">
        <f t="shared" ref="L18:L29" si="28">Z3</f>
        <v>Calidad en el Diagnóstico</v>
      </c>
      <c r="M18" s="38" t="str">
        <f t="shared" ref="M18:M29" si="29">AA3</f>
        <v>Cobertura del Tratamiento</v>
      </c>
      <c r="N18" s="38" t="str">
        <f t="shared" ref="N18:N29" si="30">AB3</f>
        <v>Examen de Contactos</v>
      </c>
    </row>
    <row r="19" spans="1:24" s="5" customFormat="1" ht="12.95" hidden="1" customHeight="1">
      <c r="A19" s="11" t="str">
        <f t="shared" ref="A19:A29" si="31">A4</f>
        <v>Tuxtla</v>
      </c>
      <c r="B19" s="3" t="s">
        <v>17</v>
      </c>
      <c r="C19" s="10">
        <f t="shared" ref="C19:C29" si="32">H4</f>
        <v>100</v>
      </c>
      <c r="D19" s="10" t="e">
        <f t="shared" ref="D19:D29" si="33">P4</f>
        <v>#DIV/0!</v>
      </c>
      <c r="E19" s="99" t="e">
        <f t="shared" si="21"/>
        <v>#DIV/0!</v>
      </c>
      <c r="F19" s="99" t="e">
        <f t="shared" si="22"/>
        <v>#DIV/0!</v>
      </c>
      <c r="G19" s="99" t="e">
        <f t="shared" si="23"/>
        <v>#DIV/0!</v>
      </c>
      <c r="H19" s="99">
        <f t="shared" si="24"/>
        <v>0</v>
      </c>
      <c r="I19" s="99">
        <f t="shared" si="25"/>
        <v>0</v>
      </c>
      <c r="J19" s="99" t="e">
        <f t="shared" si="26"/>
        <v>#DIV/0!</v>
      </c>
      <c r="K19" s="10" t="e">
        <f t="shared" si="27"/>
        <v>#DIV/0!</v>
      </c>
      <c r="L19" s="10" t="e">
        <f t="shared" si="28"/>
        <v>#DIV/0!</v>
      </c>
      <c r="M19" s="10">
        <f t="shared" si="29"/>
        <v>0</v>
      </c>
      <c r="N19" s="10">
        <f t="shared" si="30"/>
        <v>0</v>
      </c>
    </row>
    <row r="20" spans="1:24" s="5" customFormat="1" ht="12.95" hidden="1" customHeight="1">
      <c r="A20" s="11" t="str">
        <f t="shared" si="31"/>
        <v>San Cristóbal</v>
      </c>
      <c r="B20" s="3" t="s">
        <v>18</v>
      </c>
      <c r="C20" s="10" t="e">
        <f t="shared" si="32"/>
        <v>#DIV/0!</v>
      </c>
      <c r="D20" s="10" t="e">
        <f t="shared" si="33"/>
        <v>#DIV/0!</v>
      </c>
      <c r="E20" s="99" t="e">
        <f t="shared" si="21"/>
        <v>#DIV/0!</v>
      </c>
      <c r="F20" s="99" t="e">
        <f t="shared" si="22"/>
        <v>#DIV/0!</v>
      </c>
      <c r="G20" s="99" t="e">
        <f t="shared" si="23"/>
        <v>#DIV/0!</v>
      </c>
      <c r="H20" s="99" t="e">
        <f t="shared" si="24"/>
        <v>#DIV/0!</v>
      </c>
      <c r="I20" s="99" t="e">
        <f t="shared" si="25"/>
        <v>#DIV/0!</v>
      </c>
      <c r="J20" s="99" t="e">
        <f t="shared" si="26"/>
        <v>#DIV/0!</v>
      </c>
      <c r="K20" s="10" t="e">
        <f t="shared" si="27"/>
        <v>#DIV/0!</v>
      </c>
      <c r="L20" s="10" t="e">
        <f t="shared" si="28"/>
        <v>#DIV/0!</v>
      </c>
      <c r="M20" s="10" t="e">
        <f t="shared" si="29"/>
        <v>#DIV/0!</v>
      </c>
      <c r="N20" s="10" t="e">
        <f t="shared" si="30"/>
        <v>#DIV/0!</v>
      </c>
    </row>
    <row r="21" spans="1:24" s="5" customFormat="1" ht="12.95" hidden="1" customHeight="1">
      <c r="A21" s="11" t="str">
        <f t="shared" si="31"/>
        <v>Comitán</v>
      </c>
      <c r="B21" s="3" t="s">
        <v>19</v>
      </c>
      <c r="C21" s="10" t="e">
        <f t="shared" si="32"/>
        <v>#DIV/0!</v>
      </c>
      <c r="D21" s="10">
        <f t="shared" si="33"/>
        <v>91.820254651642614</v>
      </c>
      <c r="E21" s="99" t="e">
        <f t="shared" si="21"/>
        <v>#DIV/0!</v>
      </c>
      <c r="F21" s="99" t="e">
        <f t="shared" si="22"/>
        <v>#DIV/0!</v>
      </c>
      <c r="G21" s="99" t="e">
        <f t="shared" si="23"/>
        <v>#DIV/0!</v>
      </c>
      <c r="H21" s="99">
        <f t="shared" si="24"/>
        <v>80</v>
      </c>
      <c r="I21" s="99">
        <f t="shared" si="25"/>
        <v>-11.111111111111114</v>
      </c>
      <c r="J21" s="99" t="e">
        <f t="shared" si="26"/>
        <v>#DIV/0!</v>
      </c>
      <c r="K21" s="10" t="e">
        <f t="shared" si="27"/>
        <v>#DIV/0!</v>
      </c>
      <c r="L21" s="10" t="e">
        <f t="shared" si="28"/>
        <v>#DIV/0!</v>
      </c>
      <c r="M21" s="10">
        <f t="shared" si="29"/>
        <v>6.666666666666667</v>
      </c>
      <c r="N21" s="10">
        <f t="shared" si="30"/>
        <v>-0.92592592592592615</v>
      </c>
    </row>
    <row r="22" spans="1:24" s="5" customFormat="1" ht="12.95" hidden="1" customHeight="1">
      <c r="A22" s="11" t="str">
        <f t="shared" si="31"/>
        <v>Villaflores</v>
      </c>
      <c r="B22" s="3" t="s">
        <v>20</v>
      </c>
      <c r="C22" s="10" t="e">
        <f t="shared" si="32"/>
        <v>#DIV/0!</v>
      </c>
      <c r="D22" s="10" t="e">
        <f t="shared" si="33"/>
        <v>#DIV/0!</v>
      </c>
      <c r="E22" s="99" t="e">
        <f t="shared" si="21"/>
        <v>#DIV/0!</v>
      </c>
      <c r="F22" s="99" t="e">
        <f t="shared" si="22"/>
        <v>#DIV/0!</v>
      </c>
      <c r="G22" s="99" t="e">
        <f t="shared" si="23"/>
        <v>#DIV/0!</v>
      </c>
      <c r="H22" s="99" t="e">
        <f t="shared" si="24"/>
        <v>#DIV/0!</v>
      </c>
      <c r="I22" s="99" t="e">
        <f t="shared" si="25"/>
        <v>#DIV/0!</v>
      </c>
      <c r="J22" s="99" t="e">
        <f t="shared" si="26"/>
        <v>#DIV/0!</v>
      </c>
      <c r="K22" s="10" t="e">
        <f t="shared" si="27"/>
        <v>#DIV/0!</v>
      </c>
      <c r="L22" s="10" t="e">
        <f t="shared" si="28"/>
        <v>#DIV/0!</v>
      </c>
      <c r="M22" s="10" t="e">
        <f t="shared" si="29"/>
        <v>#DIV/0!</v>
      </c>
      <c r="N22" s="10" t="e">
        <f t="shared" si="30"/>
        <v>#DIV/0!</v>
      </c>
    </row>
    <row r="23" spans="1:24" s="5" customFormat="1" ht="12.95" hidden="1" customHeight="1">
      <c r="A23" s="11" t="str">
        <f t="shared" si="31"/>
        <v>Pichucalco</v>
      </c>
      <c r="B23" s="3" t="s">
        <v>21</v>
      </c>
      <c r="C23" s="10" t="e">
        <f t="shared" si="32"/>
        <v>#DIV/0!</v>
      </c>
      <c r="D23" s="10" t="e">
        <f t="shared" si="33"/>
        <v>#DIV/0!</v>
      </c>
      <c r="E23" s="99" t="e">
        <f t="shared" si="21"/>
        <v>#DIV/0!</v>
      </c>
      <c r="F23" s="99" t="e">
        <f t="shared" si="22"/>
        <v>#DIV/0!</v>
      </c>
      <c r="G23" s="99" t="e">
        <f t="shared" si="23"/>
        <v>#DIV/0!</v>
      </c>
      <c r="H23" s="99" t="e">
        <f t="shared" si="24"/>
        <v>#DIV/0!</v>
      </c>
      <c r="I23" s="99" t="e">
        <f t="shared" si="25"/>
        <v>#DIV/0!</v>
      </c>
      <c r="J23" s="99" t="e">
        <f t="shared" si="26"/>
        <v>#DIV/0!</v>
      </c>
      <c r="K23" s="10" t="e">
        <f t="shared" si="27"/>
        <v>#DIV/0!</v>
      </c>
      <c r="L23" s="10" t="e">
        <f t="shared" si="28"/>
        <v>#DIV/0!</v>
      </c>
      <c r="M23" s="10" t="e">
        <f t="shared" si="29"/>
        <v>#DIV/0!</v>
      </c>
      <c r="N23" s="10" t="e">
        <f t="shared" si="30"/>
        <v>#DIV/0!</v>
      </c>
    </row>
    <row r="24" spans="1:24" s="5" customFormat="1" ht="12.95" hidden="1" customHeight="1">
      <c r="A24" s="11" t="str">
        <f t="shared" si="31"/>
        <v>Palenque</v>
      </c>
      <c r="B24" s="3" t="s">
        <v>22</v>
      </c>
      <c r="C24" s="10" t="e">
        <f t="shared" si="32"/>
        <v>#DIV/0!</v>
      </c>
      <c r="D24" s="10" t="e">
        <f t="shared" si="33"/>
        <v>#DIV/0!</v>
      </c>
      <c r="E24" s="99" t="e">
        <f t="shared" si="21"/>
        <v>#DIV/0!</v>
      </c>
      <c r="F24" s="99" t="e">
        <f t="shared" si="22"/>
        <v>#DIV/0!</v>
      </c>
      <c r="G24" s="99" t="e">
        <f t="shared" si="23"/>
        <v>#DIV/0!</v>
      </c>
      <c r="H24" s="99" t="e">
        <f t="shared" si="24"/>
        <v>#DIV/0!</v>
      </c>
      <c r="I24" s="99" t="e">
        <f t="shared" si="25"/>
        <v>#DIV/0!</v>
      </c>
      <c r="J24" s="99" t="e">
        <f t="shared" si="26"/>
        <v>#DIV/0!</v>
      </c>
      <c r="K24" s="10" t="e">
        <f t="shared" si="27"/>
        <v>#DIV/0!</v>
      </c>
      <c r="L24" s="10" t="e">
        <f t="shared" si="28"/>
        <v>#DIV/0!</v>
      </c>
      <c r="M24" s="10" t="e">
        <f t="shared" si="29"/>
        <v>#DIV/0!</v>
      </c>
      <c r="N24" s="10" t="e">
        <f t="shared" si="30"/>
        <v>#DIV/0!</v>
      </c>
    </row>
    <row r="25" spans="1:24" s="5" customFormat="1" ht="12.95" hidden="1" customHeight="1">
      <c r="A25" s="11" t="str">
        <f t="shared" si="31"/>
        <v>Tapachula</v>
      </c>
      <c r="B25" s="3" t="s">
        <v>23</v>
      </c>
      <c r="C25" s="10">
        <f t="shared" si="32"/>
        <v>100</v>
      </c>
      <c r="D25" s="10" t="e">
        <f t="shared" si="33"/>
        <v>#DIV/0!</v>
      </c>
      <c r="E25" s="99" t="e">
        <f t="shared" si="21"/>
        <v>#DIV/0!</v>
      </c>
      <c r="F25" s="99" t="e">
        <f t="shared" si="22"/>
        <v>#DIV/0!</v>
      </c>
      <c r="G25" s="99" t="e">
        <f t="shared" si="23"/>
        <v>#DIV/0!</v>
      </c>
      <c r="H25" s="99">
        <f t="shared" si="24"/>
        <v>0</v>
      </c>
      <c r="I25" s="99">
        <f t="shared" si="25"/>
        <v>0</v>
      </c>
      <c r="J25" s="99" t="e">
        <f t="shared" si="26"/>
        <v>#DIV/0!</v>
      </c>
      <c r="K25" s="10" t="e">
        <f t="shared" si="27"/>
        <v>#DIV/0!</v>
      </c>
      <c r="L25" s="10" t="e">
        <f t="shared" si="28"/>
        <v>#DIV/0!</v>
      </c>
      <c r="M25" s="10">
        <f t="shared" si="29"/>
        <v>0</v>
      </c>
      <c r="N25" s="10">
        <f t="shared" si="30"/>
        <v>0</v>
      </c>
    </row>
    <row r="26" spans="1:24" s="5" customFormat="1" ht="12.95" hidden="1" customHeight="1">
      <c r="A26" s="11" t="str">
        <f t="shared" si="31"/>
        <v>Tonalá</v>
      </c>
      <c r="B26" s="3" t="s">
        <v>24</v>
      </c>
      <c r="C26" s="10" t="e">
        <f t="shared" si="32"/>
        <v>#DIV/0!</v>
      </c>
      <c r="D26" s="10">
        <f t="shared" si="33"/>
        <v>58.341709956248501</v>
      </c>
      <c r="E26" s="99" t="e">
        <f t="shared" si="21"/>
        <v>#DIV/0!</v>
      </c>
      <c r="F26" s="99" t="e">
        <f t="shared" si="22"/>
        <v>#DIV/0!</v>
      </c>
      <c r="G26" s="99" t="e">
        <f t="shared" si="23"/>
        <v>#DIV/0!</v>
      </c>
      <c r="H26" s="99">
        <f t="shared" si="24"/>
        <v>40</v>
      </c>
      <c r="I26" s="99">
        <f t="shared" si="25"/>
        <v>-28.296703296703292</v>
      </c>
      <c r="J26" s="99" t="e">
        <f t="shared" si="26"/>
        <v>#DIV/0!</v>
      </c>
      <c r="K26" s="10" t="e">
        <f t="shared" si="27"/>
        <v>#DIV/0!</v>
      </c>
      <c r="L26" s="10" t="e">
        <f t="shared" si="28"/>
        <v>#DIV/0!</v>
      </c>
      <c r="M26" s="10">
        <f t="shared" si="29"/>
        <v>3.3333333333333335</v>
      </c>
      <c r="N26" s="10">
        <f t="shared" si="30"/>
        <v>-2.3580586080586077</v>
      </c>
    </row>
    <row r="27" spans="1:24" s="5" customFormat="1" ht="12.95" hidden="1" customHeight="1">
      <c r="A27" s="11" t="str">
        <f t="shared" si="31"/>
        <v>Ocosingo</v>
      </c>
      <c r="B27" s="3" t="s">
        <v>25</v>
      </c>
      <c r="C27" s="10" t="e">
        <f t="shared" si="32"/>
        <v>#DIV/0!</v>
      </c>
      <c r="D27" s="10" t="e">
        <f t="shared" si="33"/>
        <v>#DIV/0!</v>
      </c>
      <c r="E27" s="99" t="e">
        <f t="shared" si="21"/>
        <v>#DIV/0!</v>
      </c>
      <c r="F27" s="99" t="e">
        <f t="shared" si="22"/>
        <v>#DIV/0!</v>
      </c>
      <c r="G27" s="99" t="e">
        <f t="shared" si="23"/>
        <v>#DIV/0!</v>
      </c>
      <c r="H27" s="99" t="e">
        <f t="shared" si="24"/>
        <v>#DIV/0!</v>
      </c>
      <c r="I27" s="99" t="e">
        <f t="shared" si="25"/>
        <v>#DIV/0!</v>
      </c>
      <c r="J27" s="99" t="e">
        <f t="shared" si="26"/>
        <v>#DIV/0!</v>
      </c>
      <c r="K27" s="10" t="e">
        <f t="shared" si="27"/>
        <v>#DIV/0!</v>
      </c>
      <c r="L27" s="10" t="e">
        <f t="shared" si="28"/>
        <v>#DIV/0!</v>
      </c>
      <c r="M27" s="10" t="e">
        <f t="shared" si="29"/>
        <v>#DIV/0!</v>
      </c>
      <c r="N27" s="10" t="e">
        <f t="shared" si="30"/>
        <v>#DIV/0!</v>
      </c>
    </row>
    <row r="28" spans="1:24" s="5" customFormat="1" ht="12.95" hidden="1" customHeight="1">
      <c r="A28" s="11" t="str">
        <f t="shared" si="31"/>
        <v>Motozintla</v>
      </c>
      <c r="B28" s="3" t="s">
        <v>26</v>
      </c>
      <c r="C28" s="10" t="e">
        <f t="shared" si="32"/>
        <v>#DIV/0!</v>
      </c>
      <c r="D28" s="10" t="e">
        <f t="shared" si="33"/>
        <v>#DIV/0!</v>
      </c>
      <c r="E28" s="99" t="e">
        <f t="shared" si="21"/>
        <v>#DIV/0!</v>
      </c>
      <c r="F28" s="99" t="e">
        <f t="shared" si="22"/>
        <v>#DIV/0!</v>
      </c>
      <c r="G28" s="99" t="e">
        <f t="shared" si="23"/>
        <v>#DIV/0!</v>
      </c>
      <c r="H28" s="99" t="e">
        <f t="shared" si="24"/>
        <v>#DIV/0!</v>
      </c>
      <c r="I28" s="99" t="e">
        <f t="shared" si="25"/>
        <v>#DIV/0!</v>
      </c>
      <c r="J28" s="99" t="e">
        <f t="shared" si="26"/>
        <v>#DIV/0!</v>
      </c>
      <c r="K28" s="10" t="e">
        <f t="shared" si="27"/>
        <v>#DIV/0!</v>
      </c>
      <c r="L28" s="10" t="e">
        <f t="shared" si="28"/>
        <v>#DIV/0!</v>
      </c>
      <c r="M28" s="10" t="e">
        <f t="shared" si="29"/>
        <v>#DIV/0!</v>
      </c>
      <c r="N28" s="10" t="e">
        <f t="shared" si="30"/>
        <v>#DIV/0!</v>
      </c>
    </row>
    <row r="29" spans="1:24" s="5" customFormat="1" hidden="1">
      <c r="A29" s="11" t="str">
        <f t="shared" si="31"/>
        <v>Estatal</v>
      </c>
      <c r="B29" s="3" t="s">
        <v>27</v>
      </c>
      <c r="C29" s="10" t="e">
        <f t="shared" si="32"/>
        <v>#DIV/0!</v>
      </c>
      <c r="D29" s="10" t="e">
        <f t="shared" si="33"/>
        <v>#DIV/0!</v>
      </c>
      <c r="E29" s="99" t="e">
        <f t="shared" si="21"/>
        <v>#DIV/0!</v>
      </c>
      <c r="F29" s="99" t="e">
        <f t="shared" si="22"/>
        <v>#DIV/0!</v>
      </c>
      <c r="G29" s="99" t="e">
        <f t="shared" si="23"/>
        <v>#DIV/0!</v>
      </c>
      <c r="H29" s="99" t="e">
        <f t="shared" si="24"/>
        <v>#DIV/0!</v>
      </c>
      <c r="I29" s="99" t="e">
        <f t="shared" si="25"/>
        <v>#DIV/0!</v>
      </c>
      <c r="J29" s="99" t="e">
        <f t="shared" si="26"/>
        <v>#DIV/0!</v>
      </c>
      <c r="K29" s="10" t="e">
        <f t="shared" si="27"/>
        <v>#DIV/0!</v>
      </c>
      <c r="L29" s="10" t="e">
        <f t="shared" si="28"/>
        <v>#DIV/0!</v>
      </c>
      <c r="M29" s="10" t="e">
        <f t="shared" si="29"/>
        <v>#DIV/0!</v>
      </c>
      <c r="N29" s="10" t="e">
        <f t="shared" si="30"/>
        <v>#DIV/0!</v>
      </c>
    </row>
    <row r="30" spans="1:24" s="5" customFormat="1">
      <c r="A30" s="3"/>
      <c r="B30" s="3"/>
      <c r="C30" s="3"/>
      <c r="D30" s="3"/>
      <c r="E30" s="9"/>
      <c r="F30" s="9"/>
      <c r="G30" s="9"/>
      <c r="H30" s="9"/>
      <c r="I30" s="9"/>
      <c r="J30" s="9"/>
      <c r="K30" s="9"/>
      <c r="L30" s="8"/>
      <c r="M30" s="9"/>
      <c r="N30" s="9"/>
      <c r="O30" s="9"/>
      <c r="P30" s="9"/>
    </row>
    <row r="31" spans="1:24" s="5" customFormat="1" ht="27" customHeight="1">
      <c r="A31" s="32" t="s">
        <v>28</v>
      </c>
      <c r="B31" s="32"/>
      <c r="C31" s="32"/>
      <c r="D31" s="32"/>
      <c r="E31" s="9"/>
      <c r="F31" s="9"/>
      <c r="G31" s="9"/>
      <c r="H31" s="9"/>
      <c r="I31" s="9"/>
      <c r="J31" s="9"/>
      <c r="K31" s="9"/>
      <c r="L31" s="8"/>
      <c r="M31" s="9"/>
      <c r="N31" s="9"/>
      <c r="O31" s="9"/>
      <c r="P31" s="9"/>
    </row>
    <row r="32" spans="1:24" s="5" customFormat="1">
      <c r="A32" s="3"/>
      <c r="B32" s="3"/>
      <c r="C32" s="3"/>
      <c r="D32" s="9"/>
      <c r="E32" s="9"/>
      <c r="F32" s="9"/>
      <c r="G32" s="9"/>
      <c r="H32" s="9"/>
      <c r="I32" s="9"/>
      <c r="J32" s="9"/>
      <c r="K32" s="8"/>
      <c r="L32" s="9"/>
      <c r="M32" s="9"/>
      <c r="N32" s="9"/>
      <c r="O32" s="9"/>
    </row>
    <row r="33" spans="1:14" s="5" customFormat="1">
      <c r="A33" s="3"/>
      <c r="B33" s="3"/>
      <c r="C33" s="3"/>
      <c r="D33" s="9"/>
      <c r="E33" s="9"/>
      <c r="F33" s="9"/>
      <c r="G33" s="9"/>
      <c r="H33" s="9"/>
      <c r="I33" s="9"/>
      <c r="J33" s="8"/>
      <c r="K33" s="9"/>
      <c r="L33" s="9"/>
      <c r="M33" s="9"/>
      <c r="N33" s="9"/>
    </row>
    <row r="34" spans="1:14" s="5" customFormat="1">
      <c r="A34" s="3"/>
      <c r="B34" s="3"/>
      <c r="C34" s="3"/>
      <c r="D34" s="9"/>
      <c r="E34" s="9"/>
      <c r="F34" s="9"/>
      <c r="G34" s="9"/>
      <c r="H34" s="9"/>
      <c r="I34" s="9"/>
      <c r="J34" s="8"/>
      <c r="K34" s="9"/>
      <c r="L34" s="9"/>
      <c r="M34" s="9"/>
      <c r="N34" s="9"/>
    </row>
    <row r="35" spans="1:14" s="5" customFormat="1">
      <c r="A35" s="3"/>
      <c r="B35" s="3"/>
      <c r="C35" s="3"/>
      <c r="D35" s="9"/>
      <c r="E35" s="9"/>
      <c r="F35" s="9"/>
      <c r="G35" s="9"/>
      <c r="H35" s="9"/>
      <c r="I35" s="9"/>
      <c r="J35" s="8"/>
      <c r="K35" s="9"/>
      <c r="L35" s="9"/>
      <c r="M35" s="9"/>
      <c r="N35" s="9"/>
    </row>
    <row r="36" spans="1:14" s="5" customFormat="1">
      <c r="A36" s="3"/>
      <c r="B36" s="3"/>
      <c r="C36" s="3"/>
      <c r="D36" s="9"/>
      <c r="E36" s="9"/>
      <c r="F36" s="9"/>
      <c r="G36" s="9"/>
      <c r="H36" s="9"/>
      <c r="I36" s="9"/>
      <c r="J36" s="8"/>
      <c r="K36" s="9"/>
      <c r="L36" s="9"/>
      <c r="M36" s="9"/>
      <c r="N36" s="9"/>
    </row>
    <row r="37" spans="1:14" s="5" customFormat="1">
      <c r="A37" s="3"/>
      <c r="B37" s="3"/>
      <c r="C37" s="3"/>
      <c r="D37" s="9"/>
      <c r="E37" s="9"/>
      <c r="F37" s="9"/>
      <c r="G37" s="9"/>
      <c r="H37" s="9"/>
      <c r="I37" s="9"/>
      <c r="J37" s="8"/>
      <c r="K37" s="9"/>
      <c r="L37" s="9"/>
      <c r="M37" s="9"/>
      <c r="N37" s="9"/>
    </row>
    <row r="38" spans="1:14" s="5" customFormat="1">
      <c r="A38" s="3"/>
      <c r="B38" s="3"/>
      <c r="C38" s="3"/>
      <c r="D38" s="9"/>
      <c r="E38" s="9"/>
      <c r="F38" s="9"/>
      <c r="G38" s="9"/>
      <c r="H38" s="9"/>
      <c r="I38" s="9"/>
      <c r="J38" s="8"/>
      <c r="K38" s="9"/>
      <c r="L38" s="9"/>
      <c r="M38" s="9"/>
      <c r="N38" s="9"/>
    </row>
    <row r="39" spans="1:14" s="5" customFormat="1"/>
    <row r="40" spans="1:14" s="5" customFormat="1">
      <c r="A40" s="28"/>
      <c r="B40" s="28"/>
      <c r="C40" s="28"/>
    </row>
    <row r="41" spans="1:14" s="5" customFormat="1"/>
    <row r="42" spans="1:14" s="5" customFormat="1"/>
    <row r="43" spans="1:14" s="5" customFormat="1"/>
    <row r="44" spans="1:14" s="5" customFormat="1"/>
    <row r="45" spans="1:14" s="5" customFormat="1"/>
    <row r="46" spans="1:14" s="5" customFormat="1"/>
    <row r="47" spans="1:14" s="5" customFormat="1"/>
    <row r="48" spans="1:14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</sheetData>
  <sheetProtection selectLockedCells="1"/>
  <mergeCells count="7">
    <mergeCell ref="AK3:AN3"/>
    <mergeCell ref="A1:T1"/>
    <mergeCell ref="AF3:AI3"/>
    <mergeCell ref="W1:AA1"/>
    <mergeCell ref="AD1:AL1"/>
    <mergeCell ref="B2:F2"/>
    <mergeCell ref="J2:N2"/>
  </mergeCells>
  <phoneticPr fontId="0" type="noConversion"/>
  <printOptions horizontalCentered="1" verticalCentered="1"/>
  <pageMargins left="0.78740157480314965" right="0.78740157480314965" top="0.98425196850393704" bottom="0.98425196850393704" header="0" footer="0"/>
  <pageSetup scale="71" orientation="landscape" horizontalDpi="360" verticalDpi="360" r:id="rId1"/>
  <headerFooter alignWithMargins="0"/>
  <colBreaks count="4" manualBreakCount="4">
    <brk id="11" max="13" man="1"/>
    <brk id="22" max="13" man="1"/>
    <brk id="33" max="13" man="1"/>
    <brk id="43" max="20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K19"/>
  <sheetViews>
    <sheetView workbookViewId="0">
      <selection activeCell="F4" sqref="F4:F15"/>
    </sheetView>
  </sheetViews>
  <sheetFormatPr baseColWidth="10" defaultRowHeight="12.75"/>
  <cols>
    <col min="1" max="1" width="19.28515625" customWidth="1"/>
    <col min="2" max="2" width="12.42578125" customWidth="1"/>
    <col min="3" max="3" width="10.42578125" customWidth="1"/>
    <col min="4" max="4" width="11.140625" customWidth="1"/>
    <col min="5" max="5" width="10.7109375" customWidth="1"/>
    <col min="6" max="6" width="10.28515625" customWidth="1"/>
    <col min="7" max="7" width="10.42578125" customWidth="1"/>
    <col min="8" max="8" width="10.28515625" customWidth="1"/>
    <col min="9" max="9" width="11.7109375" customWidth="1"/>
  </cols>
  <sheetData>
    <row r="1" spans="1:11">
      <c r="A1" s="19"/>
      <c r="B1" s="19"/>
      <c r="C1" s="19"/>
      <c r="D1" s="19"/>
      <c r="E1" s="19"/>
      <c r="F1" s="19"/>
    </row>
    <row r="2" spans="1:11">
      <c r="A2" s="19"/>
      <c r="B2" s="19"/>
      <c r="C2" s="19"/>
      <c r="D2" s="19"/>
      <c r="E2" s="19"/>
      <c r="F2" s="19"/>
    </row>
    <row r="3" spans="1:11">
      <c r="A3" s="41"/>
      <c r="B3" s="41"/>
      <c r="C3" s="41"/>
      <c r="D3" s="41"/>
      <c r="E3" s="41"/>
      <c r="F3" s="41"/>
      <c r="G3" s="42"/>
      <c r="H3" s="42"/>
      <c r="I3" s="42"/>
      <c r="J3" s="42"/>
    </row>
    <row r="4" spans="1:11" ht="31.5">
      <c r="A4" s="43" t="s">
        <v>7</v>
      </c>
      <c r="B4" s="44" t="s">
        <v>80</v>
      </c>
      <c r="C4" s="44" t="s">
        <v>64</v>
      </c>
      <c r="D4" s="44" t="s">
        <v>65</v>
      </c>
      <c r="E4" s="44" t="s">
        <v>66</v>
      </c>
      <c r="F4" s="44" t="s">
        <v>67</v>
      </c>
      <c r="G4" s="92" t="s">
        <v>0</v>
      </c>
      <c r="H4" s="116" t="s">
        <v>1</v>
      </c>
      <c r="I4" s="92"/>
      <c r="J4" s="92"/>
      <c r="K4" s="96"/>
    </row>
    <row r="5" spans="1:11">
      <c r="A5" s="144" t="s">
        <v>6</v>
      </c>
      <c r="B5" s="293">
        <v>2</v>
      </c>
      <c r="C5" s="293" t="e">
        <v>#DIV/0!</v>
      </c>
      <c r="D5" s="293" t="e">
        <v>#DIV/0!</v>
      </c>
      <c r="E5" s="293">
        <v>100</v>
      </c>
      <c r="F5" s="293">
        <v>100</v>
      </c>
      <c r="G5" s="294" t="e">
        <v>#DIV/0!</v>
      </c>
      <c r="H5" s="117" t="e">
        <v>#DIV/0!</v>
      </c>
      <c r="I5" s="39"/>
      <c r="J5" s="40"/>
      <c r="K5" s="97"/>
    </row>
    <row r="6" spans="1:11">
      <c r="A6" s="144" t="s">
        <v>30</v>
      </c>
      <c r="B6" s="293">
        <v>2</v>
      </c>
      <c r="C6" s="293" t="e">
        <v>#DIV/0!</v>
      </c>
      <c r="D6" s="293" t="e">
        <v>#DIV/0!</v>
      </c>
      <c r="E6" s="293" t="e">
        <v>#DIV/0!</v>
      </c>
      <c r="F6" s="293" t="e">
        <v>#DIV/0!</v>
      </c>
      <c r="G6" s="294" t="e">
        <v>#DIV/0!</v>
      </c>
      <c r="H6" s="117" t="e">
        <v>#DIV/0!</v>
      </c>
      <c r="I6" s="39"/>
      <c r="J6" s="40"/>
      <c r="K6" s="97"/>
    </row>
    <row r="7" spans="1:11">
      <c r="A7" s="144" t="s">
        <v>9</v>
      </c>
      <c r="B7" s="293">
        <v>2</v>
      </c>
      <c r="C7" s="293" t="e">
        <v>#DIV/0!</v>
      </c>
      <c r="D7" s="293" t="e">
        <v>#DIV/0!</v>
      </c>
      <c r="E7" s="293" t="e">
        <v>#DIV/0!</v>
      </c>
      <c r="F7" s="293" t="e">
        <v>#DIV/0!</v>
      </c>
      <c r="G7" s="294" t="e">
        <v>#DIV/0!</v>
      </c>
      <c r="H7" s="117" t="e">
        <v>#DIV/0!</v>
      </c>
      <c r="I7" s="39"/>
      <c r="J7" s="40"/>
      <c r="K7" s="97"/>
    </row>
    <row r="8" spans="1:11">
      <c r="A8" s="144" t="s">
        <v>10</v>
      </c>
      <c r="B8" s="293">
        <v>2</v>
      </c>
      <c r="C8" s="293" t="e">
        <v>#DIV/0!</v>
      </c>
      <c r="D8" s="293" t="e">
        <v>#DIV/0!</v>
      </c>
      <c r="E8" s="293" t="e">
        <v>#DIV/0!</v>
      </c>
      <c r="F8" s="293" t="e">
        <v>#DIV/0!</v>
      </c>
      <c r="G8" s="294" t="e">
        <v>#DIV/0!</v>
      </c>
      <c r="H8" s="117" t="e">
        <v>#DIV/0!</v>
      </c>
      <c r="I8" s="39"/>
      <c r="J8" s="40"/>
      <c r="K8" s="97"/>
    </row>
    <row r="9" spans="1:11">
      <c r="A9" s="144" t="s">
        <v>11</v>
      </c>
      <c r="B9" s="293">
        <v>2</v>
      </c>
      <c r="C9" s="293" t="e">
        <v>#DIV/0!</v>
      </c>
      <c r="D9" s="293" t="e">
        <v>#DIV/0!</v>
      </c>
      <c r="E9" s="293" t="e">
        <v>#DIV/0!</v>
      </c>
      <c r="F9" s="293" t="e">
        <v>#DIV/0!</v>
      </c>
      <c r="G9" s="294" t="e">
        <v>#DIV/0!</v>
      </c>
      <c r="H9" s="117" t="e">
        <v>#DIV/0!</v>
      </c>
      <c r="I9" s="39"/>
      <c r="J9" s="40"/>
      <c r="K9" s="97"/>
    </row>
    <row r="10" spans="1:11">
      <c r="A10" s="144" t="s">
        <v>12</v>
      </c>
      <c r="B10" s="293">
        <v>2</v>
      </c>
      <c r="C10" s="293" t="e">
        <v>#DIV/0!</v>
      </c>
      <c r="D10" s="293" t="e">
        <v>#DIV/0!</v>
      </c>
      <c r="E10" s="293">
        <v>100</v>
      </c>
      <c r="F10" s="293">
        <v>100</v>
      </c>
      <c r="G10" s="294" t="e">
        <v>#DIV/0!</v>
      </c>
      <c r="H10" s="117" t="e">
        <v>#DIV/0!</v>
      </c>
      <c r="I10" s="39"/>
      <c r="J10" s="40"/>
      <c r="K10" s="97"/>
    </row>
    <row r="11" spans="1:11">
      <c r="A11" s="144" t="s">
        <v>14</v>
      </c>
      <c r="B11" s="293">
        <v>2</v>
      </c>
      <c r="C11" s="293" t="e">
        <v>#DIV/0!</v>
      </c>
      <c r="D11" s="293" t="e">
        <v>#DIV/0!</v>
      </c>
      <c r="E11" s="293" t="e">
        <v>#DIV/0!</v>
      </c>
      <c r="F11" s="293" t="e">
        <v>#DIV/0!</v>
      </c>
      <c r="G11" s="294" t="e">
        <v>#DIV/0!</v>
      </c>
      <c r="H11" s="117" t="e">
        <v>#DIV/0!</v>
      </c>
      <c r="I11" s="39"/>
      <c r="J11" s="40"/>
      <c r="K11" s="97"/>
    </row>
    <row r="12" spans="1:11">
      <c r="A12" s="144" t="s">
        <v>15</v>
      </c>
      <c r="B12" s="293">
        <v>2</v>
      </c>
      <c r="C12" s="293" t="e">
        <v>#DIV/0!</v>
      </c>
      <c r="D12" s="293" t="e">
        <v>#DIV/0!</v>
      </c>
      <c r="E12" s="293" t="e">
        <v>#DIV/0!</v>
      </c>
      <c r="F12" s="293" t="e">
        <v>#DIV/0!</v>
      </c>
      <c r="G12" s="294" t="e">
        <v>#DIV/0!</v>
      </c>
      <c r="H12" s="117" t="e">
        <v>#DIV/0!</v>
      </c>
      <c r="I12" s="39"/>
      <c r="J12" s="40"/>
      <c r="K12" s="97"/>
    </row>
    <row r="13" spans="1:11">
      <c r="A13" s="144" t="s">
        <v>8</v>
      </c>
      <c r="B13" s="293">
        <v>2</v>
      </c>
      <c r="C13" s="293">
        <v>100</v>
      </c>
      <c r="D13" s="293">
        <v>100</v>
      </c>
      <c r="E13" s="293">
        <v>80</v>
      </c>
      <c r="F13" s="293">
        <v>88.888888888888886</v>
      </c>
      <c r="G13" s="294">
        <v>46.819327021178438</v>
      </c>
      <c r="H13" s="117">
        <v>91.820254651642614</v>
      </c>
      <c r="I13" s="39"/>
      <c r="J13" s="40"/>
      <c r="K13" s="97"/>
    </row>
    <row r="14" spans="1:11">
      <c r="A14" s="144" t="s">
        <v>13</v>
      </c>
      <c r="B14" s="293">
        <v>2</v>
      </c>
      <c r="C14" s="293">
        <v>50</v>
      </c>
      <c r="D14" s="293">
        <v>100</v>
      </c>
      <c r="E14" s="293">
        <v>40</v>
      </c>
      <c r="F14" s="293">
        <v>53.846153846153847</v>
      </c>
      <c r="G14" s="294">
        <v>29.748551752328158</v>
      </c>
      <c r="H14" s="117">
        <v>58.341709956248501</v>
      </c>
      <c r="I14" s="39"/>
      <c r="J14" s="40"/>
      <c r="K14" s="97"/>
    </row>
    <row r="15" spans="1:11">
      <c r="A15" s="145" t="s">
        <v>16</v>
      </c>
      <c r="B15" s="47">
        <v>2</v>
      </c>
      <c r="C15" s="47" t="e">
        <v>#DIV/0!</v>
      </c>
      <c r="D15" s="47" t="e">
        <v>#DIV/0!</v>
      </c>
      <c r="E15" s="47" t="e">
        <v>#DIV/0!</v>
      </c>
      <c r="F15" s="46" t="e">
        <v>#DIV/0!</v>
      </c>
      <c r="G15" s="40" t="e">
        <v>#DIV/0!</v>
      </c>
      <c r="H15" s="118" t="e">
        <v>#DIV/0!</v>
      </c>
      <c r="I15" s="40"/>
      <c r="J15" s="40"/>
      <c r="K15" s="97"/>
    </row>
    <row r="16" spans="1:11">
      <c r="A16" s="41"/>
      <c r="B16" s="41"/>
      <c r="C16" s="41"/>
      <c r="D16" s="45"/>
      <c r="E16" s="41"/>
      <c r="F16" s="41"/>
      <c r="G16" s="45"/>
      <c r="H16" s="45"/>
      <c r="I16" s="39"/>
      <c r="J16" s="39"/>
      <c r="K16" s="97"/>
    </row>
    <row r="17" spans="1:11">
      <c r="A17" s="41"/>
      <c r="B17" s="41"/>
      <c r="C17" s="41"/>
      <c r="D17" s="41"/>
      <c r="E17" s="41"/>
      <c r="F17" s="41"/>
      <c r="G17" s="42"/>
      <c r="H17" s="42"/>
      <c r="I17" s="42"/>
      <c r="J17" s="98"/>
      <c r="K17" s="97"/>
    </row>
    <row r="18" spans="1:11">
      <c r="A18" s="41"/>
      <c r="B18" s="41"/>
      <c r="C18" s="41"/>
      <c r="D18" s="41"/>
      <c r="E18" s="41"/>
      <c r="F18" s="41"/>
      <c r="G18" s="42"/>
      <c r="H18" s="42"/>
      <c r="I18" s="42"/>
      <c r="J18" s="42"/>
    </row>
    <row r="19" spans="1:11">
      <c r="A19" s="19"/>
      <c r="B19" s="19"/>
      <c r="C19" s="19"/>
      <c r="D19" s="19"/>
      <c r="E19" s="19"/>
      <c r="F19" s="19"/>
    </row>
  </sheetData>
  <sortState ref="A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/>
  <dimension ref="A3:V41"/>
  <sheetViews>
    <sheetView workbookViewId="0">
      <selection activeCell="K12" sqref="K12"/>
    </sheetView>
  </sheetViews>
  <sheetFormatPr baseColWidth="10" defaultRowHeight="12.75"/>
  <cols>
    <col min="1" max="1" width="18" customWidth="1"/>
    <col min="2" max="2" width="7.28515625" customWidth="1"/>
    <col min="3" max="3" width="12.7109375" customWidth="1"/>
    <col min="4" max="4" width="12.85546875" customWidth="1"/>
    <col min="5" max="5" width="11.85546875" customWidth="1"/>
    <col min="6" max="6" width="12.85546875" customWidth="1"/>
    <col min="7" max="7" width="11.85546875" customWidth="1"/>
    <col min="8" max="8" width="11" customWidth="1"/>
    <col min="9" max="9" width="8.140625" customWidth="1"/>
    <col min="10" max="10" width="8.5703125" customWidth="1"/>
    <col min="11" max="11" width="12.42578125" customWidth="1"/>
    <col min="12" max="13" width="10.85546875" customWidth="1"/>
    <col min="14" max="15" width="9" customWidth="1"/>
    <col min="16" max="16" width="6.7109375" customWidth="1"/>
    <col min="17" max="17" width="8.5703125" customWidth="1"/>
    <col min="18" max="18" width="8.7109375" customWidth="1"/>
    <col min="19" max="19" width="10.42578125" customWidth="1"/>
    <col min="20" max="20" width="10.7109375" customWidth="1"/>
  </cols>
  <sheetData>
    <row r="3" spans="1:2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22">
      <c r="A4" s="17"/>
      <c r="B4" s="17"/>
      <c r="C4" s="18"/>
      <c r="D4" s="18"/>
      <c r="E4" s="18"/>
      <c r="F4" s="18"/>
      <c r="G4" s="18"/>
      <c r="H4" s="18"/>
      <c r="I4" s="18"/>
      <c r="J4" s="18"/>
      <c r="K4" s="18"/>
      <c r="L4" s="1"/>
      <c r="M4" s="1"/>
      <c r="N4" s="1"/>
      <c r="O4" s="1"/>
      <c r="P4" s="1"/>
    </row>
    <row r="5" spans="1:22">
      <c r="A5" s="21"/>
      <c r="B5" s="21"/>
      <c r="C5" s="26"/>
      <c r="D5" s="26"/>
      <c r="E5" s="22" t="s">
        <v>5</v>
      </c>
      <c r="F5" s="22"/>
      <c r="G5" s="22"/>
      <c r="H5" s="22"/>
      <c r="I5" s="22"/>
      <c r="J5" s="22"/>
      <c r="K5" s="18"/>
      <c r="L5" s="1"/>
      <c r="M5" s="1"/>
      <c r="N5" s="1"/>
      <c r="O5" s="1"/>
      <c r="P5" s="1"/>
    </row>
    <row r="6" spans="1:22" ht="46.5" customHeight="1">
      <c r="A6" s="25" t="s">
        <v>7</v>
      </c>
      <c r="B6" s="23"/>
      <c r="C6" s="35" t="s">
        <v>78</v>
      </c>
      <c r="D6" s="33" t="s">
        <v>79</v>
      </c>
      <c r="E6" s="50" t="s">
        <v>2</v>
      </c>
      <c r="F6" s="30" t="s">
        <v>64</v>
      </c>
      <c r="G6" s="30" t="s">
        <v>65</v>
      </c>
      <c r="H6" s="30" t="s">
        <v>66</v>
      </c>
      <c r="I6" s="30" t="s">
        <v>67</v>
      </c>
      <c r="J6" s="30" t="s">
        <v>3</v>
      </c>
      <c r="K6" s="30" t="s">
        <v>64</v>
      </c>
      <c r="L6" s="48" t="s">
        <v>65</v>
      </c>
      <c r="M6" s="48" t="s">
        <v>66</v>
      </c>
      <c r="N6" s="48" t="s">
        <v>67</v>
      </c>
      <c r="O6" s="31"/>
      <c r="P6" s="31"/>
      <c r="Q6" s="29"/>
      <c r="R6" s="29"/>
      <c r="S6" s="29"/>
      <c r="T6" s="29"/>
      <c r="U6" s="29"/>
      <c r="V6" s="29"/>
    </row>
    <row r="7" spans="1:22">
      <c r="A7" s="21" t="s">
        <v>6</v>
      </c>
      <c r="B7" s="21" t="s">
        <v>17</v>
      </c>
      <c r="C7" s="295">
        <v>100</v>
      </c>
      <c r="D7" s="296" t="e">
        <v>#DIV/0!</v>
      </c>
      <c r="E7" s="297" t="e">
        <v>#DIV/0!</v>
      </c>
      <c r="F7" s="298" t="e">
        <v>#DIV/0!</v>
      </c>
      <c r="G7" s="298" t="e">
        <v>#DIV/0!</v>
      </c>
      <c r="H7" s="298">
        <v>0</v>
      </c>
      <c r="I7" s="298">
        <v>0</v>
      </c>
      <c r="J7" s="298" t="e">
        <v>#DIV/0!</v>
      </c>
      <c r="K7" s="298" t="e">
        <v>#DIV/0!</v>
      </c>
      <c r="L7" s="299" t="e">
        <v>#DIV/0!</v>
      </c>
      <c r="M7" s="49">
        <v>0</v>
      </c>
      <c r="N7" s="49">
        <v>0</v>
      </c>
      <c r="O7" s="20"/>
      <c r="P7" s="20"/>
      <c r="Q7" s="20"/>
      <c r="R7" s="20"/>
      <c r="S7" s="20"/>
      <c r="T7" s="20"/>
      <c r="U7" s="19"/>
      <c r="V7" s="19"/>
    </row>
    <row r="8" spans="1:22">
      <c r="A8" s="21" t="s">
        <v>30</v>
      </c>
      <c r="B8" s="21" t="s">
        <v>18</v>
      </c>
      <c r="C8" s="295" t="e">
        <v>#DIV/0!</v>
      </c>
      <c r="D8" s="296" t="e">
        <v>#DIV/0!</v>
      </c>
      <c r="E8" s="297" t="e">
        <v>#DIV/0!</v>
      </c>
      <c r="F8" s="298" t="e">
        <v>#DIV/0!</v>
      </c>
      <c r="G8" s="298" t="e">
        <v>#DIV/0!</v>
      </c>
      <c r="H8" s="298" t="e">
        <v>#DIV/0!</v>
      </c>
      <c r="I8" s="298" t="e">
        <v>#DIV/0!</v>
      </c>
      <c r="J8" s="298" t="e">
        <v>#DIV/0!</v>
      </c>
      <c r="K8" s="298" t="e">
        <v>#DIV/0!</v>
      </c>
      <c r="L8" s="299" t="e">
        <v>#DIV/0!</v>
      </c>
      <c r="M8" s="49" t="e">
        <v>#DIV/0!</v>
      </c>
      <c r="N8" s="49" t="e">
        <v>#DIV/0!</v>
      </c>
      <c r="O8" s="20"/>
      <c r="P8" s="20"/>
      <c r="Q8" s="20"/>
      <c r="R8" s="20"/>
      <c r="S8" s="20"/>
      <c r="T8" s="20"/>
      <c r="U8" s="19"/>
      <c r="V8" s="19"/>
    </row>
    <row r="9" spans="1:22">
      <c r="A9" s="21" t="s">
        <v>9</v>
      </c>
      <c r="B9" s="21" t="s">
        <v>20</v>
      </c>
      <c r="C9" s="295" t="e">
        <v>#DIV/0!</v>
      </c>
      <c r="D9" s="296" t="e">
        <v>#DIV/0!</v>
      </c>
      <c r="E9" s="297" t="e">
        <v>#DIV/0!</v>
      </c>
      <c r="F9" s="298" t="e">
        <v>#DIV/0!</v>
      </c>
      <c r="G9" s="298" t="e">
        <v>#DIV/0!</v>
      </c>
      <c r="H9" s="298" t="e">
        <v>#DIV/0!</v>
      </c>
      <c r="I9" s="298" t="e">
        <v>#DIV/0!</v>
      </c>
      <c r="J9" s="298" t="e">
        <v>#DIV/0!</v>
      </c>
      <c r="K9" s="298" t="e">
        <v>#DIV/0!</v>
      </c>
      <c r="L9" s="299" t="e">
        <v>#DIV/0!</v>
      </c>
      <c r="M9" s="49" t="e">
        <v>#DIV/0!</v>
      </c>
      <c r="N9" s="49" t="e">
        <v>#DIV/0!</v>
      </c>
      <c r="O9" s="20"/>
      <c r="P9" s="20"/>
      <c r="Q9" s="20"/>
      <c r="R9" s="20"/>
      <c r="S9" s="20"/>
      <c r="T9" s="20"/>
      <c r="U9" s="19"/>
      <c r="V9" s="19"/>
    </row>
    <row r="10" spans="1:22">
      <c r="A10" s="21" t="s">
        <v>10</v>
      </c>
      <c r="B10" s="21" t="s">
        <v>21</v>
      </c>
      <c r="C10" s="295" t="e">
        <v>#DIV/0!</v>
      </c>
      <c r="D10" s="296" t="e">
        <v>#DIV/0!</v>
      </c>
      <c r="E10" s="297" t="e">
        <v>#DIV/0!</v>
      </c>
      <c r="F10" s="298" t="e">
        <v>#DIV/0!</v>
      </c>
      <c r="G10" s="298" t="e">
        <v>#DIV/0!</v>
      </c>
      <c r="H10" s="298" t="e">
        <v>#DIV/0!</v>
      </c>
      <c r="I10" s="298" t="e">
        <v>#DIV/0!</v>
      </c>
      <c r="J10" s="298" t="e">
        <v>#DIV/0!</v>
      </c>
      <c r="K10" s="298" t="e">
        <v>#DIV/0!</v>
      </c>
      <c r="L10" s="299" t="e">
        <v>#DIV/0!</v>
      </c>
      <c r="M10" s="49" t="e">
        <v>#DIV/0!</v>
      </c>
      <c r="N10" s="49" t="e">
        <v>#DIV/0!</v>
      </c>
      <c r="O10" s="20"/>
      <c r="P10" s="20"/>
      <c r="Q10" s="20"/>
      <c r="R10" s="20"/>
      <c r="S10" s="20"/>
      <c r="T10" s="20"/>
      <c r="U10" s="19"/>
      <c r="V10" s="19"/>
    </row>
    <row r="11" spans="1:22">
      <c r="A11" s="21" t="s">
        <v>11</v>
      </c>
      <c r="B11" s="21" t="s">
        <v>22</v>
      </c>
      <c r="C11" s="295" t="e">
        <v>#DIV/0!</v>
      </c>
      <c r="D11" s="296" t="e">
        <v>#DIV/0!</v>
      </c>
      <c r="E11" s="297" t="e">
        <v>#DIV/0!</v>
      </c>
      <c r="F11" s="298" t="e">
        <v>#DIV/0!</v>
      </c>
      <c r="G11" s="298" t="e">
        <v>#DIV/0!</v>
      </c>
      <c r="H11" s="298" t="e">
        <v>#DIV/0!</v>
      </c>
      <c r="I11" s="298" t="e">
        <v>#DIV/0!</v>
      </c>
      <c r="J11" s="298" t="e">
        <v>#DIV/0!</v>
      </c>
      <c r="K11" s="298" t="e">
        <v>#DIV/0!</v>
      </c>
      <c r="L11" s="299" t="e">
        <v>#DIV/0!</v>
      </c>
      <c r="M11" s="49" t="e">
        <v>#DIV/0!</v>
      </c>
      <c r="N11" s="49" t="e">
        <v>#DIV/0!</v>
      </c>
      <c r="O11" s="20"/>
      <c r="P11" s="20"/>
      <c r="Q11" s="20"/>
      <c r="R11" s="20"/>
      <c r="S11" s="20"/>
      <c r="T11" s="20"/>
      <c r="U11" s="19"/>
      <c r="V11" s="19"/>
    </row>
    <row r="12" spans="1:22">
      <c r="A12" s="21" t="s">
        <v>12</v>
      </c>
      <c r="B12" s="21" t="s">
        <v>23</v>
      </c>
      <c r="C12" s="295">
        <v>100</v>
      </c>
      <c r="D12" s="296" t="e">
        <v>#DIV/0!</v>
      </c>
      <c r="E12" s="297" t="e">
        <v>#DIV/0!</v>
      </c>
      <c r="F12" s="298" t="e">
        <v>#DIV/0!</v>
      </c>
      <c r="G12" s="298" t="e">
        <v>#DIV/0!</v>
      </c>
      <c r="H12" s="298">
        <v>0</v>
      </c>
      <c r="I12" s="298">
        <v>0</v>
      </c>
      <c r="J12" s="298" t="e">
        <v>#DIV/0!</v>
      </c>
      <c r="K12" s="298" t="e">
        <v>#DIV/0!</v>
      </c>
      <c r="L12" s="299" t="e">
        <v>#DIV/0!</v>
      </c>
      <c r="M12" s="49">
        <v>0</v>
      </c>
      <c r="N12" s="49">
        <v>0</v>
      </c>
      <c r="O12" s="20"/>
      <c r="P12" s="20"/>
      <c r="Q12" s="20"/>
      <c r="R12" s="20"/>
      <c r="S12" s="20"/>
      <c r="T12" s="20"/>
      <c r="U12" s="19"/>
      <c r="V12" s="19"/>
    </row>
    <row r="13" spans="1:22">
      <c r="A13" s="21" t="s">
        <v>14</v>
      </c>
      <c r="B13" s="21" t="s">
        <v>25</v>
      </c>
      <c r="C13" s="295" t="e">
        <v>#DIV/0!</v>
      </c>
      <c r="D13" s="296" t="e">
        <v>#DIV/0!</v>
      </c>
      <c r="E13" s="297" t="e">
        <v>#DIV/0!</v>
      </c>
      <c r="F13" s="298" t="e">
        <v>#DIV/0!</v>
      </c>
      <c r="G13" s="298" t="e">
        <v>#DIV/0!</v>
      </c>
      <c r="H13" s="298" t="e">
        <v>#DIV/0!</v>
      </c>
      <c r="I13" s="298" t="e">
        <v>#DIV/0!</v>
      </c>
      <c r="J13" s="298" t="e">
        <v>#DIV/0!</v>
      </c>
      <c r="K13" s="298" t="e">
        <v>#DIV/0!</v>
      </c>
      <c r="L13" s="299" t="e">
        <v>#DIV/0!</v>
      </c>
      <c r="M13" s="49" t="e">
        <v>#DIV/0!</v>
      </c>
      <c r="N13" s="49" t="e">
        <v>#DIV/0!</v>
      </c>
      <c r="O13" s="20"/>
      <c r="P13" s="20"/>
      <c r="Q13" s="20"/>
      <c r="R13" s="20"/>
      <c r="S13" s="20"/>
      <c r="T13" s="20"/>
      <c r="U13" s="19"/>
      <c r="V13" s="19"/>
    </row>
    <row r="14" spans="1:22">
      <c r="A14" s="21" t="s">
        <v>15</v>
      </c>
      <c r="B14" s="21" t="s">
        <v>26</v>
      </c>
      <c r="C14" s="295" t="e">
        <v>#DIV/0!</v>
      </c>
      <c r="D14" s="296" t="e">
        <v>#DIV/0!</v>
      </c>
      <c r="E14" s="297" t="e">
        <v>#DIV/0!</v>
      </c>
      <c r="F14" s="298" t="e">
        <v>#DIV/0!</v>
      </c>
      <c r="G14" s="298" t="e">
        <v>#DIV/0!</v>
      </c>
      <c r="H14" s="298" t="e">
        <v>#DIV/0!</v>
      </c>
      <c r="I14" s="298" t="e">
        <v>#DIV/0!</v>
      </c>
      <c r="J14" s="298" t="e">
        <v>#DIV/0!</v>
      </c>
      <c r="K14" s="298" t="e">
        <v>#DIV/0!</v>
      </c>
      <c r="L14" s="299" t="e">
        <v>#DIV/0!</v>
      </c>
      <c r="M14" s="49" t="e">
        <v>#DIV/0!</v>
      </c>
      <c r="N14" s="49" t="e">
        <v>#DIV/0!</v>
      </c>
      <c r="O14" s="20"/>
      <c r="P14" s="20"/>
      <c r="Q14" s="20"/>
      <c r="R14" s="20"/>
      <c r="S14" s="20"/>
      <c r="T14" s="20"/>
      <c r="U14" s="19"/>
      <c r="V14" s="19"/>
    </row>
    <row r="15" spans="1:22">
      <c r="A15" s="21" t="s">
        <v>8</v>
      </c>
      <c r="B15" s="21" t="s">
        <v>19</v>
      </c>
      <c r="C15" s="295" t="e">
        <v>#DIV/0!</v>
      </c>
      <c r="D15" s="296">
        <v>91.820254651642614</v>
      </c>
      <c r="E15" s="297" t="e">
        <v>#DIV/0!</v>
      </c>
      <c r="F15" s="298" t="e">
        <v>#DIV/0!</v>
      </c>
      <c r="G15" s="298" t="e">
        <v>#DIV/0!</v>
      </c>
      <c r="H15" s="298">
        <v>80</v>
      </c>
      <c r="I15" s="298">
        <v>-11.111111111111114</v>
      </c>
      <c r="J15" s="298" t="e">
        <v>#DIV/0!</v>
      </c>
      <c r="K15" s="298" t="e">
        <v>#DIV/0!</v>
      </c>
      <c r="L15" s="299" t="e">
        <v>#DIV/0!</v>
      </c>
      <c r="M15" s="49">
        <v>6.666666666666667</v>
      </c>
      <c r="N15" s="49">
        <v>-0.92592592592592615</v>
      </c>
      <c r="O15" s="20"/>
      <c r="P15" s="20"/>
      <c r="Q15" s="20"/>
      <c r="R15" s="20"/>
      <c r="S15" s="20"/>
      <c r="T15" s="20"/>
      <c r="U15" s="19"/>
      <c r="V15" s="19"/>
    </row>
    <row r="16" spans="1:22">
      <c r="A16" s="21" t="s">
        <v>13</v>
      </c>
      <c r="B16" s="21" t="s">
        <v>24</v>
      </c>
      <c r="C16" s="295" t="e">
        <v>#DIV/0!</v>
      </c>
      <c r="D16" s="296">
        <v>58.341709956248501</v>
      </c>
      <c r="E16" s="297" t="e">
        <v>#DIV/0!</v>
      </c>
      <c r="F16" s="298" t="e">
        <v>#DIV/0!</v>
      </c>
      <c r="G16" s="298" t="e">
        <v>#DIV/0!</v>
      </c>
      <c r="H16" s="298">
        <v>40</v>
      </c>
      <c r="I16" s="298">
        <v>-28.296703296703292</v>
      </c>
      <c r="J16" s="298" t="e">
        <v>#DIV/0!</v>
      </c>
      <c r="K16" s="298" t="e">
        <v>#DIV/0!</v>
      </c>
      <c r="L16" s="299" t="e">
        <v>#DIV/0!</v>
      </c>
      <c r="M16" s="49">
        <v>3.3333333333333335</v>
      </c>
      <c r="N16" s="49">
        <v>-2.3580586080586077</v>
      </c>
      <c r="O16" s="20"/>
      <c r="P16" s="20"/>
      <c r="Q16" s="20"/>
      <c r="R16" s="20"/>
      <c r="S16" s="20"/>
      <c r="T16" s="20"/>
      <c r="U16" s="19"/>
      <c r="V16" s="19"/>
    </row>
    <row r="17" spans="1:22">
      <c r="A17" s="23" t="s">
        <v>16</v>
      </c>
      <c r="B17" s="23" t="s">
        <v>27</v>
      </c>
      <c r="C17" s="36" t="e">
        <v>#DIV/0!</v>
      </c>
      <c r="D17" s="34" t="e">
        <v>#DIV/0!</v>
      </c>
      <c r="E17" s="51" t="e">
        <v>#DIV/0!</v>
      </c>
      <c r="F17" s="24" t="e">
        <v>#DIV/0!</v>
      </c>
      <c r="G17" s="24" t="e">
        <v>#DIV/0!</v>
      </c>
      <c r="H17" s="24" t="e">
        <v>#DIV/0!</v>
      </c>
      <c r="I17" s="24" t="e">
        <v>#DIV/0!</v>
      </c>
      <c r="J17" s="24" t="e">
        <v>#DIV/0!</v>
      </c>
      <c r="K17" s="24" t="e">
        <v>#DIV/0!</v>
      </c>
      <c r="L17" s="202" t="e">
        <v>#DIV/0!</v>
      </c>
      <c r="M17" s="202" t="e">
        <v>#DIV/0!</v>
      </c>
      <c r="N17" s="202" t="e">
        <v>#DIV/0!</v>
      </c>
      <c r="O17" s="20"/>
      <c r="P17" s="20"/>
      <c r="Q17" s="20"/>
      <c r="R17" s="20"/>
      <c r="S17" s="20"/>
      <c r="T17" s="20"/>
      <c r="U17" s="19"/>
      <c r="V17" s="19"/>
    </row>
    <row r="18" spans="1:22">
      <c r="A18" s="17"/>
      <c r="B18" s="17"/>
      <c r="C18" s="18"/>
      <c r="D18" s="18"/>
      <c r="E18" s="18"/>
      <c r="F18" s="18"/>
      <c r="G18" s="18"/>
      <c r="H18" s="18"/>
      <c r="I18" s="18"/>
      <c r="J18" s="18"/>
      <c r="K18" s="22"/>
      <c r="L18" s="20"/>
      <c r="M18" s="20"/>
      <c r="N18" s="20"/>
      <c r="O18" s="20"/>
      <c r="P18" s="20"/>
    </row>
    <row r="19" spans="1:22">
      <c r="A19" s="17"/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"/>
      <c r="M19" s="1"/>
      <c r="N19" s="1"/>
      <c r="O19" s="1"/>
      <c r="P19" s="1"/>
    </row>
    <row r="20" spans="1:22">
      <c r="A20" s="17"/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"/>
      <c r="M20" s="1"/>
      <c r="N20" s="1"/>
      <c r="O20" s="1"/>
      <c r="P20" s="1"/>
    </row>
    <row r="21" spans="1:22">
      <c r="A21" s="17"/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"/>
      <c r="M21" s="1"/>
      <c r="N21" s="1"/>
      <c r="O21" s="1"/>
      <c r="P21" s="1"/>
    </row>
    <row r="22" spans="1:22">
      <c r="A22" s="17"/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"/>
      <c r="M22" s="1"/>
      <c r="N22" s="1"/>
      <c r="O22" s="1"/>
      <c r="P22" s="1"/>
    </row>
    <row r="23" spans="1:22">
      <c r="A23" s="17"/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"/>
      <c r="M23" s="1"/>
      <c r="N23" s="1"/>
      <c r="O23" s="1"/>
      <c r="P23" s="1"/>
    </row>
    <row r="24" spans="1:22">
      <c r="A24" s="17"/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"/>
      <c r="M24" s="1"/>
      <c r="N24" s="1"/>
      <c r="O24" s="1"/>
      <c r="P24" s="1"/>
    </row>
    <row r="25" spans="1:22">
      <c r="A25" s="17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"/>
      <c r="M25" s="1"/>
      <c r="N25" s="1"/>
      <c r="O25" s="1"/>
      <c r="P25" s="1"/>
    </row>
    <row r="26" spans="1:22">
      <c r="A26" s="17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"/>
      <c r="M26" s="1"/>
      <c r="N26" s="1"/>
      <c r="O26" s="1"/>
      <c r="P26" s="1"/>
    </row>
    <row r="27" spans="1:22">
      <c r="A27" s="17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"/>
      <c r="M27" s="1"/>
      <c r="N27" s="1"/>
      <c r="O27" s="1"/>
      <c r="P27" s="1"/>
    </row>
    <row r="28" spans="1:22">
      <c r="A28" s="17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"/>
      <c r="M28" s="1"/>
      <c r="N28" s="1"/>
      <c r="O28" s="1"/>
      <c r="P28" s="1"/>
    </row>
    <row r="29" spans="1:22">
      <c r="A29" s="17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"/>
      <c r="M29" s="1"/>
      <c r="N29" s="1"/>
      <c r="O29" s="1"/>
      <c r="P29" s="1"/>
    </row>
    <row r="30" spans="1:22">
      <c r="A30" s="17"/>
      <c r="B30" s="17"/>
      <c r="C30" s="18"/>
      <c r="D30" s="18"/>
      <c r="E30" s="18"/>
      <c r="F30" s="18"/>
      <c r="G30" s="18"/>
      <c r="H30" s="18"/>
      <c r="I30" s="18"/>
      <c r="J30" s="18"/>
      <c r="K30" s="18"/>
      <c r="L30" s="1"/>
      <c r="M30" s="1"/>
      <c r="N30" s="1"/>
      <c r="O30" s="1"/>
      <c r="P30" s="1"/>
    </row>
    <row r="31" spans="1:22">
      <c r="A31" s="17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"/>
      <c r="M31" s="1"/>
      <c r="N31" s="1"/>
      <c r="O31" s="1"/>
      <c r="P31" s="1"/>
    </row>
    <row r="32" spans="1:22">
      <c r="A32" s="17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"/>
      <c r="M32" s="1"/>
      <c r="N32" s="1"/>
      <c r="O32" s="1"/>
      <c r="P32" s="1"/>
    </row>
    <row r="33" spans="1:16">
      <c r="A33" s="17"/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"/>
      <c r="M33" s="1"/>
      <c r="N33" s="1"/>
      <c r="O33" s="1"/>
      <c r="P33" s="1"/>
    </row>
    <row r="34" spans="1:16">
      <c r="A34" s="17"/>
      <c r="B34" s="17"/>
      <c r="C34" s="18"/>
      <c r="D34" s="18"/>
      <c r="E34" s="18"/>
      <c r="F34" s="18"/>
      <c r="G34" s="18"/>
      <c r="H34" s="18"/>
      <c r="I34" s="18"/>
      <c r="J34" s="18"/>
      <c r="K34" s="18"/>
      <c r="L34" s="1"/>
      <c r="M34" s="1"/>
      <c r="N34" s="1"/>
      <c r="O34" s="1"/>
      <c r="P34" s="1"/>
    </row>
    <row r="35" spans="1:16">
      <c r="A35" s="17"/>
      <c r="B35" s="17"/>
      <c r="C35" s="18"/>
      <c r="D35" s="18"/>
      <c r="E35" s="18"/>
      <c r="F35" s="18"/>
      <c r="G35" s="18"/>
      <c r="H35" s="18"/>
      <c r="I35" s="18"/>
      <c r="J35" s="18"/>
      <c r="K35" s="18"/>
      <c r="L35" s="1"/>
      <c r="M35" s="1"/>
      <c r="N35" s="1"/>
      <c r="O35" s="1"/>
      <c r="P35" s="1"/>
    </row>
    <row r="36" spans="1:16">
      <c r="A36" s="17"/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"/>
      <c r="M36" s="1"/>
      <c r="N36" s="1"/>
      <c r="O36" s="1"/>
      <c r="P36" s="1"/>
    </row>
    <row r="37" spans="1:16">
      <c r="A37" s="17"/>
      <c r="B37" s="17"/>
      <c r="C37" s="18"/>
      <c r="D37" s="18"/>
      <c r="E37" s="18"/>
      <c r="F37" s="18"/>
      <c r="G37" s="18"/>
      <c r="H37" s="18"/>
      <c r="I37" s="18"/>
      <c r="J37" s="18"/>
      <c r="K37" s="17"/>
    </row>
    <row r="38" spans="1:16">
      <c r="A38" s="17"/>
      <c r="B38" s="17"/>
      <c r="C38" s="18"/>
      <c r="D38" s="18"/>
      <c r="E38" s="18"/>
      <c r="F38" s="18"/>
      <c r="G38" s="18"/>
      <c r="H38" s="18"/>
      <c r="I38" s="18"/>
      <c r="J38" s="18"/>
      <c r="K38" s="17"/>
    </row>
    <row r="39" spans="1:16">
      <c r="A39" s="17"/>
      <c r="B39" s="17"/>
      <c r="C39" s="18"/>
      <c r="D39" s="18"/>
      <c r="E39" s="18"/>
      <c r="F39" s="18"/>
      <c r="G39" s="18"/>
      <c r="H39" s="18"/>
      <c r="I39" s="18"/>
      <c r="J39" s="18"/>
      <c r="K39" s="17"/>
    </row>
    <row r="40" spans="1:16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6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</row>
  </sheetData>
  <sortState ref="A7:T16">
    <sortCondition descending="1" ref="D7"/>
  </sortState>
  <phoneticPr fontId="0" type="noConversion"/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3:I16"/>
  <sheetViews>
    <sheetView topLeftCell="A7" workbookViewId="0">
      <selection activeCell="H5" sqref="H5"/>
    </sheetView>
  </sheetViews>
  <sheetFormatPr baseColWidth="10" defaultRowHeight="12.75"/>
  <sheetData>
    <row r="3" spans="1:9" ht="13.5" thickBot="1"/>
    <row r="4" spans="1:9" ht="35.25" thickTop="1" thickBot="1">
      <c r="A4" s="76" t="s">
        <v>7</v>
      </c>
      <c r="B4" s="77" t="s">
        <v>64</v>
      </c>
      <c r="C4" s="78" t="s">
        <v>7</v>
      </c>
      <c r="D4" s="77" t="s">
        <v>65</v>
      </c>
      <c r="E4" s="78" t="s">
        <v>7</v>
      </c>
      <c r="F4" s="77" t="s">
        <v>66</v>
      </c>
      <c r="G4" s="76" t="s">
        <v>7</v>
      </c>
      <c r="H4" s="77" t="s">
        <v>67</v>
      </c>
      <c r="I4" s="79"/>
    </row>
    <row r="5" spans="1:9" ht="13.5" thickTop="1">
      <c r="A5" s="80" t="s">
        <v>6</v>
      </c>
      <c r="B5" s="300" t="e">
        <v>#DIV/0!</v>
      </c>
      <c r="C5" s="81" t="s">
        <v>6</v>
      </c>
      <c r="D5" s="300" t="e">
        <v>#DIV/0!</v>
      </c>
      <c r="E5" s="303" t="s">
        <v>30</v>
      </c>
      <c r="F5" s="300" t="e">
        <v>#DIV/0!</v>
      </c>
      <c r="G5" s="306" t="s">
        <v>30</v>
      </c>
      <c r="H5" s="309" t="e">
        <v>#DIV/0!</v>
      </c>
      <c r="I5" s="79"/>
    </row>
    <row r="6" spans="1:9">
      <c r="A6" s="82" t="s">
        <v>30</v>
      </c>
      <c r="B6" s="301" t="e">
        <v>#DIV/0!</v>
      </c>
      <c r="C6" s="83" t="s">
        <v>30</v>
      </c>
      <c r="D6" s="301" t="e">
        <v>#DIV/0!</v>
      </c>
      <c r="E6" s="304" t="s">
        <v>9</v>
      </c>
      <c r="F6" s="301" t="e">
        <v>#DIV/0!</v>
      </c>
      <c r="G6" s="307" t="s">
        <v>9</v>
      </c>
      <c r="H6" s="310" t="e">
        <v>#DIV/0!</v>
      </c>
      <c r="I6" s="79"/>
    </row>
    <row r="7" spans="1:9">
      <c r="A7" s="82" t="s">
        <v>9</v>
      </c>
      <c r="B7" s="301" t="e">
        <v>#DIV/0!</v>
      </c>
      <c r="C7" s="83" t="s">
        <v>9</v>
      </c>
      <c r="D7" s="301" t="e">
        <v>#DIV/0!</v>
      </c>
      <c r="E7" s="304" t="s">
        <v>10</v>
      </c>
      <c r="F7" s="301" t="e">
        <v>#DIV/0!</v>
      </c>
      <c r="G7" s="307" t="s">
        <v>10</v>
      </c>
      <c r="H7" s="310" t="e">
        <v>#DIV/0!</v>
      </c>
      <c r="I7" s="79"/>
    </row>
    <row r="8" spans="1:9">
      <c r="A8" s="82" t="s">
        <v>10</v>
      </c>
      <c r="B8" s="301" t="e">
        <v>#DIV/0!</v>
      </c>
      <c r="C8" s="83" t="s">
        <v>10</v>
      </c>
      <c r="D8" s="301" t="e">
        <v>#DIV/0!</v>
      </c>
      <c r="E8" s="304" t="s">
        <v>11</v>
      </c>
      <c r="F8" s="301" t="e">
        <v>#DIV/0!</v>
      </c>
      <c r="G8" s="307" t="s">
        <v>11</v>
      </c>
      <c r="H8" s="310" t="e">
        <v>#DIV/0!</v>
      </c>
      <c r="I8" s="79"/>
    </row>
    <row r="9" spans="1:9">
      <c r="A9" s="82" t="s">
        <v>11</v>
      </c>
      <c r="B9" s="301" t="e">
        <v>#DIV/0!</v>
      </c>
      <c r="C9" s="83" t="s">
        <v>11</v>
      </c>
      <c r="D9" s="301" t="e">
        <v>#DIV/0!</v>
      </c>
      <c r="E9" s="304" t="s">
        <v>14</v>
      </c>
      <c r="F9" s="301" t="e">
        <v>#DIV/0!</v>
      </c>
      <c r="G9" s="307" t="s">
        <v>14</v>
      </c>
      <c r="H9" s="310" t="e">
        <v>#DIV/0!</v>
      </c>
      <c r="I9" s="79"/>
    </row>
    <row r="10" spans="1:9">
      <c r="A10" s="82" t="s">
        <v>12</v>
      </c>
      <c r="B10" s="301" t="e">
        <v>#DIV/0!</v>
      </c>
      <c r="C10" s="83" t="s">
        <v>12</v>
      </c>
      <c r="D10" s="301" t="e">
        <v>#DIV/0!</v>
      </c>
      <c r="E10" s="304" t="s">
        <v>15</v>
      </c>
      <c r="F10" s="301" t="e">
        <v>#DIV/0!</v>
      </c>
      <c r="G10" s="307" t="s">
        <v>15</v>
      </c>
      <c r="H10" s="310" t="e">
        <v>#DIV/0!</v>
      </c>
      <c r="I10" s="79"/>
    </row>
    <row r="11" spans="1:9">
      <c r="A11" s="82" t="s">
        <v>14</v>
      </c>
      <c r="B11" s="301" t="e">
        <v>#DIV/0!</v>
      </c>
      <c r="C11" s="83" t="s">
        <v>14</v>
      </c>
      <c r="D11" s="301" t="e">
        <v>#DIV/0!</v>
      </c>
      <c r="E11" s="304" t="s">
        <v>6</v>
      </c>
      <c r="F11" s="301">
        <v>100</v>
      </c>
      <c r="G11" s="307" t="s">
        <v>6</v>
      </c>
      <c r="H11" s="310">
        <v>100</v>
      </c>
      <c r="I11" s="79"/>
    </row>
    <row r="12" spans="1:9">
      <c r="A12" s="82" t="s">
        <v>15</v>
      </c>
      <c r="B12" s="301" t="e">
        <v>#DIV/0!</v>
      </c>
      <c r="C12" s="83" t="s">
        <v>15</v>
      </c>
      <c r="D12" s="301" t="e">
        <v>#DIV/0!</v>
      </c>
      <c r="E12" s="304" t="s">
        <v>12</v>
      </c>
      <c r="F12" s="301">
        <v>100</v>
      </c>
      <c r="G12" s="307" t="s">
        <v>12</v>
      </c>
      <c r="H12" s="310">
        <v>100</v>
      </c>
      <c r="I12" s="79"/>
    </row>
    <row r="13" spans="1:9">
      <c r="A13" s="82" t="s">
        <v>8</v>
      </c>
      <c r="B13" s="301">
        <v>100</v>
      </c>
      <c r="C13" s="83" t="s">
        <v>8</v>
      </c>
      <c r="D13" s="301">
        <v>100</v>
      </c>
      <c r="E13" s="304" t="s">
        <v>8</v>
      </c>
      <c r="F13" s="301">
        <v>80</v>
      </c>
      <c r="G13" s="307" t="s">
        <v>8</v>
      </c>
      <c r="H13" s="310">
        <v>88.888888888888886</v>
      </c>
      <c r="I13" s="79"/>
    </row>
    <row r="14" spans="1:9">
      <c r="A14" s="82" t="s">
        <v>13</v>
      </c>
      <c r="B14" s="301">
        <v>50</v>
      </c>
      <c r="C14" s="83" t="s">
        <v>13</v>
      </c>
      <c r="D14" s="301">
        <v>100</v>
      </c>
      <c r="E14" s="304" t="s">
        <v>13</v>
      </c>
      <c r="F14" s="301">
        <v>40</v>
      </c>
      <c r="G14" s="307" t="s">
        <v>13</v>
      </c>
      <c r="H14" s="310">
        <v>53.846153846153847</v>
      </c>
      <c r="I14" s="79"/>
    </row>
    <row r="15" spans="1:9" ht="13.5" thickBot="1">
      <c r="A15" s="84" t="s">
        <v>16</v>
      </c>
      <c r="B15" s="302" t="e">
        <v>#DIV/0!</v>
      </c>
      <c r="C15" s="85" t="s">
        <v>16</v>
      </c>
      <c r="D15" s="302" t="e">
        <v>#DIV/0!</v>
      </c>
      <c r="E15" s="305" t="s">
        <v>16</v>
      </c>
      <c r="F15" s="302" t="e">
        <v>#DIV/0!</v>
      </c>
      <c r="G15" s="308" t="s">
        <v>16</v>
      </c>
      <c r="H15" s="302" t="e">
        <v>#DIV/0!</v>
      </c>
      <c r="I15" s="79"/>
    </row>
    <row r="16" spans="1:9" ht="13.5" thickTop="1">
      <c r="G16" s="75"/>
      <c r="H16" s="75"/>
    </row>
  </sheetData>
  <sortState ref="G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4">
    <pageSetUpPr fitToPage="1"/>
  </sheetPr>
  <dimension ref="A1:I49"/>
  <sheetViews>
    <sheetView showGridLines="0" zoomScaleNormal="100" zoomScaleSheetLayoutView="100" workbookViewId="0">
      <selection activeCell="C28" sqref="C28"/>
    </sheetView>
  </sheetViews>
  <sheetFormatPr baseColWidth="10" defaultRowHeight="12.75"/>
  <cols>
    <col min="1" max="1" width="6.28515625" customWidth="1"/>
    <col min="2" max="2" width="24.85546875" customWidth="1"/>
    <col min="3" max="3" width="13.42578125" customWidth="1"/>
    <col min="4" max="8" width="15.7109375" customWidth="1"/>
    <col min="9" max="9" width="13.42578125" bestFit="1" customWidth="1"/>
  </cols>
  <sheetData>
    <row r="1" spans="1:9" ht="12.75" customHeight="1">
      <c r="D1" s="54"/>
      <c r="E1" s="54"/>
      <c r="F1" s="54"/>
      <c r="G1" s="54"/>
      <c r="H1" s="55"/>
    </row>
    <row r="2" spans="1:9" ht="12.75" customHeight="1">
      <c r="D2" s="54"/>
      <c r="E2" s="54"/>
      <c r="F2" s="54"/>
      <c r="G2" s="54"/>
      <c r="H2" s="55"/>
    </row>
    <row r="3" spans="1:9" ht="12.75" customHeight="1">
      <c r="D3" s="54"/>
      <c r="E3" s="54"/>
      <c r="F3" s="54"/>
      <c r="G3" s="54"/>
      <c r="H3" s="55"/>
    </row>
    <row r="4" spans="1:9" ht="12.75" customHeight="1">
      <c r="D4" s="54"/>
      <c r="E4" s="54"/>
      <c r="F4" s="54"/>
      <c r="G4" s="54"/>
      <c r="H4" s="55"/>
    </row>
    <row r="5" spans="1:9" ht="12.75" customHeight="1">
      <c r="B5" s="56"/>
      <c r="C5" s="56"/>
      <c r="D5" s="54"/>
      <c r="E5" s="54"/>
      <c r="F5" s="54"/>
      <c r="G5" s="54"/>
      <c r="H5" s="55"/>
    </row>
    <row r="6" spans="1:9" ht="12.75" customHeight="1">
      <c r="D6" s="54"/>
      <c r="E6" s="54"/>
      <c r="F6" s="54"/>
      <c r="G6" s="54"/>
      <c r="H6" s="55"/>
    </row>
    <row r="7" spans="1:9" ht="12.75" customHeight="1">
      <c r="D7" s="54"/>
      <c r="E7" s="54"/>
      <c r="F7" s="54"/>
      <c r="G7" s="54"/>
      <c r="H7" s="55"/>
    </row>
    <row r="8" spans="1:9" ht="12.75" customHeight="1">
      <c r="B8" s="57"/>
      <c r="C8" s="57"/>
      <c r="D8" s="58"/>
      <c r="E8" s="58"/>
      <c r="F8" s="58"/>
      <c r="G8" s="58"/>
      <c r="H8" s="55"/>
    </row>
    <row r="9" spans="1:9" ht="12.75" customHeight="1">
      <c r="A9" s="249"/>
      <c r="B9" s="249"/>
      <c r="C9" s="249"/>
      <c r="D9" s="249"/>
      <c r="E9" s="249"/>
      <c r="F9" s="249"/>
      <c r="G9" s="249"/>
      <c r="H9" s="249"/>
      <c r="I9" s="249"/>
    </row>
    <row r="10" spans="1:9" ht="12.75" customHeight="1">
      <c r="A10" s="249"/>
      <c r="B10" s="249"/>
      <c r="C10" s="249"/>
      <c r="D10" s="249"/>
      <c r="E10" s="249"/>
      <c r="F10" s="249"/>
      <c r="G10" s="249"/>
      <c r="H10" s="249"/>
      <c r="I10" s="249"/>
    </row>
    <row r="11" spans="1:9" ht="12.75" customHeight="1"/>
    <row r="12" spans="1:9" ht="12.75" customHeight="1"/>
    <row r="13" spans="1:9" ht="12.75" customHeight="1"/>
    <row r="14" spans="1:9" ht="12.75" customHeight="1"/>
    <row r="15" spans="1:9" ht="12.75" customHeight="1"/>
    <row r="16" spans="1:9" ht="12.75" customHeight="1"/>
    <row r="17" spans="1:9" ht="22.5" customHeight="1"/>
    <row r="18" spans="1:9" ht="12.75" customHeight="1">
      <c r="A18" s="248" t="s">
        <v>31</v>
      </c>
      <c r="B18" s="248" t="s">
        <v>7</v>
      </c>
      <c r="C18" s="248" t="s">
        <v>80</v>
      </c>
      <c r="D18" s="248" t="s">
        <v>69</v>
      </c>
      <c r="E18" s="248" t="s">
        <v>70</v>
      </c>
      <c r="F18" s="248" t="s">
        <v>72</v>
      </c>
      <c r="G18" s="248" t="s">
        <v>71</v>
      </c>
      <c r="H18" s="248" t="s">
        <v>32</v>
      </c>
      <c r="I18" s="97"/>
    </row>
    <row r="19" spans="1:9" ht="12.75" customHeight="1">
      <c r="A19" s="248"/>
      <c r="B19" s="248"/>
      <c r="C19" s="248"/>
      <c r="D19" s="248"/>
      <c r="E19" s="248"/>
      <c r="F19" s="248"/>
      <c r="G19" s="248"/>
      <c r="H19" s="248"/>
      <c r="I19" s="97"/>
    </row>
    <row r="20" spans="1:9" ht="12.75" customHeight="1">
      <c r="A20" s="248"/>
      <c r="B20" s="248"/>
      <c r="C20" s="248"/>
      <c r="D20" s="248"/>
      <c r="E20" s="248"/>
      <c r="F20" s="248"/>
      <c r="G20" s="248"/>
      <c r="H20" s="248"/>
      <c r="I20" s="97"/>
    </row>
    <row r="21" spans="1:9" ht="12.75" customHeight="1">
      <c r="A21" s="248"/>
      <c r="B21" s="248"/>
      <c r="C21" s="248"/>
      <c r="D21" s="248"/>
      <c r="E21" s="248"/>
      <c r="F21" s="248"/>
      <c r="G21" s="248"/>
      <c r="H21" s="248"/>
      <c r="I21" s="97"/>
    </row>
    <row r="22" spans="1:9" ht="12.75" customHeight="1">
      <c r="A22" s="248"/>
      <c r="B22" s="248"/>
      <c r="C22" s="248"/>
      <c r="D22" s="248"/>
      <c r="E22" s="248"/>
      <c r="F22" s="248"/>
      <c r="G22" s="248"/>
      <c r="H22" s="248"/>
      <c r="I22" s="97"/>
    </row>
    <row r="23" spans="1:9" ht="12.75" customHeight="1">
      <c r="A23" s="248"/>
      <c r="B23" s="248"/>
      <c r="C23" s="248"/>
      <c r="D23" s="248"/>
      <c r="E23" s="248"/>
      <c r="F23" s="248"/>
      <c r="G23" s="248"/>
      <c r="H23" s="248"/>
      <c r="I23" s="97"/>
    </row>
    <row r="24" spans="1:9" ht="12.75" customHeight="1">
      <c r="A24" s="248"/>
      <c r="B24" s="248"/>
      <c r="C24" s="248"/>
      <c r="D24" s="248"/>
      <c r="E24" s="248"/>
      <c r="F24" s="248"/>
      <c r="G24" s="248"/>
      <c r="H24" s="248"/>
      <c r="I24" s="97"/>
    </row>
    <row r="25" spans="1:9" ht="6.75" customHeight="1">
      <c r="A25" s="248"/>
      <c r="B25" s="248"/>
      <c r="C25" s="248"/>
      <c r="D25" s="248"/>
      <c r="E25" s="248"/>
      <c r="F25" s="248"/>
      <c r="G25" s="248"/>
      <c r="H25" s="248"/>
      <c r="I25" s="97"/>
    </row>
    <row r="26" spans="1:9" ht="9.75" hidden="1" customHeight="1">
      <c r="A26" s="248"/>
      <c r="B26" s="248"/>
      <c r="C26" s="199"/>
      <c r="D26" s="248"/>
      <c r="E26" s="199"/>
      <c r="F26" s="199"/>
      <c r="G26" s="248"/>
      <c r="H26" s="248"/>
      <c r="I26" s="97"/>
    </row>
    <row r="27" spans="1:9" ht="12.75" hidden="1" customHeight="1">
      <c r="A27" s="248"/>
      <c r="B27" s="248"/>
      <c r="C27" s="199"/>
      <c r="D27" s="248"/>
      <c r="E27" s="199"/>
      <c r="F27" s="199"/>
      <c r="G27" s="248"/>
      <c r="H27" s="248"/>
      <c r="I27" s="97"/>
    </row>
    <row r="28" spans="1:9" ht="39.950000000000003" customHeight="1">
      <c r="A28" s="187">
        <v>1</v>
      </c>
      <c r="B28" s="193" t="str">
        <f>datos1!A5</f>
        <v>Tuxtla</v>
      </c>
      <c r="C28" s="194">
        <f>datos1!B5</f>
        <v>2</v>
      </c>
      <c r="D28" s="194" t="e">
        <f>datos1!C5</f>
        <v>#DIV/0!</v>
      </c>
      <c r="E28" s="194" t="e">
        <f>datos1!D5</f>
        <v>#DIV/0!</v>
      </c>
      <c r="F28" s="194">
        <f>datos1!E5</f>
        <v>100</v>
      </c>
      <c r="G28" s="194">
        <f>datos1!F5</f>
        <v>100</v>
      </c>
      <c r="H28" s="194" t="e">
        <f>datos1!H5</f>
        <v>#DIV/0!</v>
      </c>
      <c r="I28" s="195" t="e">
        <f>H28</f>
        <v>#DIV/0!</v>
      </c>
    </row>
    <row r="29" spans="1:9" ht="39.950000000000003" customHeight="1">
      <c r="A29" s="190">
        <v>2</v>
      </c>
      <c r="B29" s="191" t="str">
        <f>datos1!A6</f>
        <v>San Cristóbal</v>
      </c>
      <c r="C29" s="192">
        <f>datos1!B6</f>
        <v>2</v>
      </c>
      <c r="D29" s="192" t="e">
        <f>datos1!C6</f>
        <v>#DIV/0!</v>
      </c>
      <c r="E29" s="192" t="e">
        <f>datos1!D6</f>
        <v>#DIV/0!</v>
      </c>
      <c r="F29" s="192" t="e">
        <f>datos1!E6</f>
        <v>#DIV/0!</v>
      </c>
      <c r="G29" s="192" t="e">
        <f>datos1!F6</f>
        <v>#DIV/0!</v>
      </c>
      <c r="H29" s="192" t="e">
        <f>datos1!H6</f>
        <v>#DIV/0!</v>
      </c>
      <c r="I29" s="189" t="e">
        <f t="shared" ref="I29:I38" si="0">H29</f>
        <v>#DIV/0!</v>
      </c>
    </row>
    <row r="30" spans="1:9" ht="39.950000000000003" customHeight="1">
      <c r="A30" s="187">
        <v>3</v>
      </c>
      <c r="B30" s="193" t="str">
        <f>datos1!A7</f>
        <v>Villaflores</v>
      </c>
      <c r="C30" s="194">
        <f>datos1!B7</f>
        <v>2</v>
      </c>
      <c r="D30" s="194" t="e">
        <f>datos1!C7</f>
        <v>#DIV/0!</v>
      </c>
      <c r="E30" s="194" t="e">
        <f>datos1!D7</f>
        <v>#DIV/0!</v>
      </c>
      <c r="F30" s="194" t="e">
        <f>datos1!E7</f>
        <v>#DIV/0!</v>
      </c>
      <c r="G30" s="194" t="e">
        <f>datos1!F7</f>
        <v>#DIV/0!</v>
      </c>
      <c r="H30" s="194" t="e">
        <f>datos1!H7</f>
        <v>#DIV/0!</v>
      </c>
      <c r="I30" s="196" t="e">
        <f t="shared" si="0"/>
        <v>#DIV/0!</v>
      </c>
    </row>
    <row r="31" spans="1:9" ht="39.950000000000003" customHeight="1">
      <c r="A31" s="190">
        <v>4</v>
      </c>
      <c r="B31" s="191" t="str">
        <f>datos1!A8</f>
        <v>Pichucalco</v>
      </c>
      <c r="C31" s="192">
        <f>datos1!B8</f>
        <v>2</v>
      </c>
      <c r="D31" s="192" t="e">
        <f>datos1!C8</f>
        <v>#DIV/0!</v>
      </c>
      <c r="E31" s="192" t="e">
        <f>datos1!D8</f>
        <v>#DIV/0!</v>
      </c>
      <c r="F31" s="192" t="e">
        <f>datos1!E8</f>
        <v>#DIV/0!</v>
      </c>
      <c r="G31" s="192" t="e">
        <f>datos1!F8</f>
        <v>#DIV/0!</v>
      </c>
      <c r="H31" s="192" t="e">
        <f>datos1!H8</f>
        <v>#DIV/0!</v>
      </c>
      <c r="I31" s="189" t="e">
        <f t="shared" si="0"/>
        <v>#DIV/0!</v>
      </c>
    </row>
    <row r="32" spans="1:9" ht="39.950000000000003" customHeight="1">
      <c r="A32" s="187">
        <v>5</v>
      </c>
      <c r="B32" s="193" t="str">
        <f>datos1!A9</f>
        <v>Palenque</v>
      </c>
      <c r="C32" s="194">
        <f>datos1!B9</f>
        <v>2</v>
      </c>
      <c r="D32" s="194" t="e">
        <f>datos1!C9</f>
        <v>#DIV/0!</v>
      </c>
      <c r="E32" s="194" t="e">
        <f>datos1!D9</f>
        <v>#DIV/0!</v>
      </c>
      <c r="F32" s="194" t="e">
        <f>datos1!E9</f>
        <v>#DIV/0!</v>
      </c>
      <c r="G32" s="194" t="e">
        <f>datos1!F9</f>
        <v>#DIV/0!</v>
      </c>
      <c r="H32" s="194" t="e">
        <f>datos1!H9</f>
        <v>#DIV/0!</v>
      </c>
      <c r="I32" s="196" t="e">
        <f t="shared" si="0"/>
        <v>#DIV/0!</v>
      </c>
    </row>
    <row r="33" spans="1:9" ht="39.950000000000003" customHeight="1">
      <c r="A33" s="190">
        <v>6</v>
      </c>
      <c r="B33" s="191" t="str">
        <f>datos1!A10</f>
        <v>Tapachula</v>
      </c>
      <c r="C33" s="192">
        <f>datos1!B10</f>
        <v>2</v>
      </c>
      <c r="D33" s="192" t="e">
        <f>datos1!C10</f>
        <v>#DIV/0!</v>
      </c>
      <c r="E33" s="192" t="e">
        <f>datos1!D10</f>
        <v>#DIV/0!</v>
      </c>
      <c r="F33" s="192">
        <f>datos1!E10</f>
        <v>100</v>
      </c>
      <c r="G33" s="192">
        <f>datos1!F10</f>
        <v>100</v>
      </c>
      <c r="H33" s="192" t="e">
        <f>datos1!H10</f>
        <v>#DIV/0!</v>
      </c>
      <c r="I33" s="189" t="e">
        <f t="shared" si="0"/>
        <v>#DIV/0!</v>
      </c>
    </row>
    <row r="34" spans="1:9" ht="39.950000000000003" customHeight="1">
      <c r="A34" s="187">
        <v>7</v>
      </c>
      <c r="B34" s="193" t="str">
        <f>datos1!A11</f>
        <v>Ocosingo</v>
      </c>
      <c r="C34" s="194">
        <f>datos1!B11</f>
        <v>2</v>
      </c>
      <c r="D34" s="194" t="e">
        <f>datos1!C11</f>
        <v>#DIV/0!</v>
      </c>
      <c r="E34" s="194" t="e">
        <f>datos1!D11</f>
        <v>#DIV/0!</v>
      </c>
      <c r="F34" s="194" t="e">
        <f>datos1!E11</f>
        <v>#DIV/0!</v>
      </c>
      <c r="G34" s="194" t="e">
        <f>datos1!F11</f>
        <v>#DIV/0!</v>
      </c>
      <c r="H34" s="194" t="e">
        <f>datos1!H11</f>
        <v>#DIV/0!</v>
      </c>
      <c r="I34" s="196" t="e">
        <f t="shared" si="0"/>
        <v>#DIV/0!</v>
      </c>
    </row>
    <row r="35" spans="1:9" ht="39.950000000000003" customHeight="1">
      <c r="A35" s="190">
        <v>8</v>
      </c>
      <c r="B35" s="191" t="str">
        <f>datos1!A12</f>
        <v>Motozintla</v>
      </c>
      <c r="C35" s="192">
        <f>datos1!B12</f>
        <v>2</v>
      </c>
      <c r="D35" s="192" t="e">
        <f>datos1!C12</f>
        <v>#DIV/0!</v>
      </c>
      <c r="E35" s="192" t="e">
        <f>datos1!D12</f>
        <v>#DIV/0!</v>
      </c>
      <c r="F35" s="192" t="e">
        <f>datos1!E12</f>
        <v>#DIV/0!</v>
      </c>
      <c r="G35" s="192" t="e">
        <f>datos1!F12</f>
        <v>#DIV/0!</v>
      </c>
      <c r="H35" s="192" t="e">
        <f>datos1!H12</f>
        <v>#DIV/0!</v>
      </c>
      <c r="I35" s="189" t="e">
        <f t="shared" si="0"/>
        <v>#DIV/0!</v>
      </c>
    </row>
    <row r="36" spans="1:9" ht="39.950000000000003" customHeight="1">
      <c r="A36" s="187">
        <v>9</v>
      </c>
      <c r="B36" s="193" t="str">
        <f>datos1!A13</f>
        <v>Comitán</v>
      </c>
      <c r="C36" s="194">
        <f>datos1!B13</f>
        <v>2</v>
      </c>
      <c r="D36" s="194">
        <f>datos1!C13</f>
        <v>100</v>
      </c>
      <c r="E36" s="194">
        <f>datos1!D13</f>
        <v>100</v>
      </c>
      <c r="F36" s="194">
        <f>datos1!E13</f>
        <v>80</v>
      </c>
      <c r="G36" s="194">
        <f>datos1!F13</f>
        <v>88.888888888888886</v>
      </c>
      <c r="H36" s="194">
        <f>datos1!H13</f>
        <v>91.820254651642614</v>
      </c>
      <c r="I36" s="196">
        <f t="shared" si="0"/>
        <v>91.820254651642614</v>
      </c>
    </row>
    <row r="37" spans="1:9" ht="39.950000000000003" customHeight="1">
      <c r="A37" s="190">
        <v>10</v>
      </c>
      <c r="B37" s="191" t="str">
        <f>datos1!A14</f>
        <v>Tonalá</v>
      </c>
      <c r="C37" s="192">
        <f>datos1!B14</f>
        <v>2</v>
      </c>
      <c r="D37" s="192">
        <f>datos1!C14</f>
        <v>50</v>
      </c>
      <c r="E37" s="192">
        <f>datos1!D14</f>
        <v>100</v>
      </c>
      <c r="F37" s="192">
        <f>datos1!E14</f>
        <v>40</v>
      </c>
      <c r="G37" s="192">
        <f>datos1!F14</f>
        <v>53.846153846153847</v>
      </c>
      <c r="H37" s="192">
        <f>datos1!H14</f>
        <v>58.341709956248501</v>
      </c>
      <c r="I37" s="189">
        <f t="shared" si="0"/>
        <v>58.341709956248501</v>
      </c>
    </row>
    <row r="38" spans="1:9" ht="39.950000000000003" customHeight="1">
      <c r="A38" s="188"/>
      <c r="B38" s="197" t="str">
        <f>datos1!A15</f>
        <v>Estatal</v>
      </c>
      <c r="C38" s="198">
        <f>datos1!B15</f>
        <v>2</v>
      </c>
      <c r="D38" s="198" t="e">
        <f>datos1!C15</f>
        <v>#DIV/0!</v>
      </c>
      <c r="E38" s="198" t="e">
        <f>datos1!D15</f>
        <v>#DIV/0!</v>
      </c>
      <c r="F38" s="198" t="e">
        <f>datos1!E15</f>
        <v>#DIV/0!</v>
      </c>
      <c r="G38" s="198" t="e">
        <f>datos1!F15</f>
        <v>#DIV/0!</v>
      </c>
      <c r="H38" s="198" t="e">
        <f>datos1!H15</f>
        <v>#DIV/0!</v>
      </c>
      <c r="I38" s="196" t="e">
        <f t="shared" si="0"/>
        <v>#DIV/0!</v>
      </c>
    </row>
    <row r="39" spans="1:9" ht="12.75" customHeight="1"/>
    <row r="40" spans="1:9" ht="12.75" customHeight="1"/>
    <row r="41" spans="1:9" ht="12.75" customHeight="1"/>
    <row r="42" spans="1:9" ht="12.75" customHeight="1" thickBot="1">
      <c r="A42" s="71"/>
    </row>
    <row r="43" spans="1:9" ht="12.75" customHeight="1">
      <c r="F43" s="250" t="s">
        <v>34</v>
      </c>
      <c r="G43" s="250" t="s">
        <v>35</v>
      </c>
      <c r="H43" s="252" t="s">
        <v>36</v>
      </c>
    </row>
    <row r="44" spans="1:9" ht="18" customHeight="1" thickBot="1">
      <c r="A44" s="72"/>
      <c r="B44" s="73"/>
      <c r="C44" s="73"/>
      <c r="F44" s="251"/>
      <c r="G44" s="251"/>
      <c r="H44" s="253"/>
    </row>
    <row r="45" spans="1:9" ht="15.75" customHeight="1">
      <c r="A45" s="72"/>
      <c r="B45" s="73"/>
      <c r="C45" s="73"/>
      <c r="F45" s="178" t="s">
        <v>37</v>
      </c>
      <c r="G45" s="179" t="s">
        <v>75</v>
      </c>
      <c r="H45" s="173"/>
    </row>
    <row r="46" spans="1:9" ht="14.25" customHeight="1">
      <c r="A46" s="72"/>
      <c r="B46" s="73"/>
      <c r="C46" s="73"/>
      <c r="F46" s="180" t="s">
        <v>38</v>
      </c>
      <c r="G46" s="181" t="s">
        <v>61</v>
      </c>
      <c r="H46" s="174"/>
    </row>
    <row r="47" spans="1:9" ht="14.1" customHeight="1">
      <c r="A47" s="72"/>
      <c r="B47" s="74"/>
      <c r="C47" s="74"/>
      <c r="F47" s="180" t="s">
        <v>39</v>
      </c>
      <c r="G47" s="181" t="s">
        <v>74</v>
      </c>
      <c r="H47" s="175"/>
    </row>
    <row r="48" spans="1:9" ht="14.1" customHeight="1" thickBot="1">
      <c r="B48" s="70"/>
      <c r="C48" s="70"/>
      <c r="F48" s="182" t="s">
        <v>40</v>
      </c>
      <c r="G48" s="183" t="s">
        <v>73</v>
      </c>
      <c r="H48" s="176"/>
    </row>
    <row r="49" spans="6:8" ht="12.75" customHeight="1">
      <c r="F49" s="177"/>
      <c r="G49" s="177"/>
      <c r="H49" s="177"/>
    </row>
  </sheetData>
  <sheetProtection selectLockedCells="1"/>
  <mergeCells count="12">
    <mergeCell ref="G43:G44"/>
    <mergeCell ref="E18:E25"/>
    <mergeCell ref="F18:F25"/>
    <mergeCell ref="F43:F44"/>
    <mergeCell ref="H43:H44"/>
    <mergeCell ref="D18:D27"/>
    <mergeCell ref="A9:I10"/>
    <mergeCell ref="A18:A27"/>
    <mergeCell ref="B18:B27"/>
    <mergeCell ref="G18:G27"/>
    <mergeCell ref="H18:H27"/>
    <mergeCell ref="C18:C25"/>
  </mergeCells>
  <phoneticPr fontId="0" type="noConversion"/>
  <conditionalFormatting sqref="I28:I38">
    <cfRule type="iconSet" priority="1">
      <iconSet iconSet="4TrafficLights" showValue="0">
        <cfvo type="percent" val="0"/>
        <cfvo type="num" val="40"/>
        <cfvo type="num" val="60"/>
        <cfvo type="num" val="80"/>
      </iconSet>
    </cfRule>
  </conditionalFormatting>
  <printOptions horizontalCentered="1"/>
  <pageMargins left="0.78740157480314965" right="0.78740157480314965" top="0.78740157480314965" bottom="0.78740157480314965" header="0" footer="0"/>
  <pageSetup scale="67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>
    <pageSetUpPr fitToPage="1"/>
  </sheetPr>
  <dimension ref="A3:P27"/>
  <sheetViews>
    <sheetView showGridLines="0" zoomScaleNormal="100" workbookViewId="0">
      <selection activeCell="M18" sqref="M18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3" spans="1:16">
      <c r="A3" s="60"/>
    </row>
    <row r="4" spans="1:16">
      <c r="A4" s="60"/>
    </row>
    <row r="5" spans="1:16">
      <c r="A5" s="60"/>
    </row>
    <row r="6" spans="1:16" ht="20.25" customHeight="1">
      <c r="I6" s="62"/>
    </row>
    <row r="7" spans="1:16">
      <c r="I7" s="62"/>
    </row>
    <row r="8" spans="1:16" ht="39.950000000000003" customHeight="1">
      <c r="B8" s="63"/>
      <c r="H8" s="64" t="e">
        <f>datos1!H5</f>
        <v>#DIV/0!</v>
      </c>
      <c r="J8" s="200"/>
      <c r="K8" s="27"/>
      <c r="L8" s="27"/>
      <c r="M8" s="27"/>
      <c r="N8" s="27"/>
      <c r="O8" s="27"/>
      <c r="P8" s="27"/>
    </row>
    <row r="9" spans="1:16" ht="39.950000000000003" customHeight="1">
      <c r="B9" s="63"/>
      <c r="H9" s="64" t="e">
        <f>datos1!H6</f>
        <v>#DIV/0!</v>
      </c>
    </row>
    <row r="10" spans="1:16" ht="39.950000000000003" customHeight="1">
      <c r="B10" s="63"/>
      <c r="H10" s="64" t="e">
        <f>datos1!H7</f>
        <v>#DIV/0!</v>
      </c>
    </row>
    <row r="11" spans="1:16" ht="39.950000000000003" customHeight="1">
      <c r="B11" s="63"/>
      <c r="H11" s="64" t="e">
        <f>datos1!H8</f>
        <v>#DIV/0!</v>
      </c>
    </row>
    <row r="12" spans="1:16" ht="39.950000000000003" customHeight="1">
      <c r="B12" s="63"/>
      <c r="H12" s="64" t="e">
        <f>datos1!H9</f>
        <v>#DIV/0!</v>
      </c>
    </row>
    <row r="13" spans="1:16" ht="39.950000000000003" customHeight="1">
      <c r="B13" s="63"/>
      <c r="H13" s="64" t="e">
        <f>datos1!H10</f>
        <v>#DIV/0!</v>
      </c>
    </row>
    <row r="14" spans="1:16" ht="39.950000000000003" customHeight="1">
      <c r="B14" s="63"/>
      <c r="H14" s="64" t="e">
        <f>datos1!H11</f>
        <v>#DIV/0!</v>
      </c>
    </row>
    <row r="15" spans="1:16" ht="39.950000000000003" customHeight="1">
      <c r="B15" s="63"/>
      <c r="H15" s="64" t="e">
        <f>datos1!H12</f>
        <v>#DIV/0!</v>
      </c>
    </row>
    <row r="16" spans="1:16" ht="39.950000000000003" customHeight="1">
      <c r="B16" s="63"/>
      <c r="H16" s="64">
        <f>datos1!H13</f>
        <v>91.820254651642614</v>
      </c>
    </row>
    <row r="17" spans="2:8" ht="39.950000000000003" customHeight="1">
      <c r="B17" s="63"/>
      <c r="H17" s="64">
        <f>datos1!H14</f>
        <v>58.341709956248501</v>
      </c>
    </row>
    <row r="18" spans="2:8" ht="39.950000000000003" customHeight="1">
      <c r="B18" s="63"/>
      <c r="H18" s="64" t="e">
        <f>datos1!H15</f>
        <v>#DIV/0!</v>
      </c>
    </row>
    <row r="19" spans="2:8">
      <c r="H19" s="65"/>
    </row>
    <row r="20" spans="2:8" ht="13.5" thickBot="1">
      <c r="H20" s="65"/>
    </row>
    <row r="21" spans="2:8" ht="13.5" customHeight="1" thickTop="1">
      <c r="B21" s="274" t="s">
        <v>34</v>
      </c>
      <c r="C21" s="275"/>
      <c r="D21" s="266" t="s">
        <v>35</v>
      </c>
      <c r="E21" s="267"/>
      <c r="F21" s="262" t="s">
        <v>36</v>
      </c>
      <c r="G21" s="263"/>
    </row>
    <row r="22" spans="2:8" ht="21" customHeight="1">
      <c r="B22" s="276"/>
      <c r="C22" s="277"/>
      <c r="D22" s="268"/>
      <c r="E22" s="269"/>
      <c r="F22" s="264"/>
      <c r="G22" s="265"/>
    </row>
    <row r="23" spans="2:8" ht="12.75" customHeight="1">
      <c r="B23" s="278" t="s">
        <v>37</v>
      </c>
      <c r="C23" s="279"/>
      <c r="D23" s="270" t="s">
        <v>75</v>
      </c>
      <c r="E23" s="271"/>
      <c r="F23" s="272"/>
      <c r="G23" s="273"/>
    </row>
    <row r="24" spans="2:8">
      <c r="B24" s="278" t="s">
        <v>38</v>
      </c>
      <c r="C24" s="279"/>
      <c r="D24" s="270" t="s">
        <v>61</v>
      </c>
      <c r="E24" s="271"/>
      <c r="F24" s="254"/>
      <c r="G24" s="255"/>
    </row>
    <row r="25" spans="2:8">
      <c r="B25" s="278" t="s">
        <v>39</v>
      </c>
      <c r="C25" s="279"/>
      <c r="D25" s="270" t="s">
        <v>74</v>
      </c>
      <c r="E25" s="271"/>
      <c r="F25" s="256"/>
      <c r="G25" s="257"/>
    </row>
    <row r="26" spans="2:8" ht="13.5" thickBot="1">
      <c r="B26" s="280" t="s">
        <v>40</v>
      </c>
      <c r="C26" s="281"/>
      <c r="D26" s="260" t="s">
        <v>73</v>
      </c>
      <c r="E26" s="261"/>
      <c r="F26" s="258"/>
      <c r="G26" s="259"/>
    </row>
    <row r="27" spans="2:8" ht="13.5" thickTop="1">
      <c r="B27" s="3"/>
      <c r="C27" s="3"/>
      <c r="D27" s="3"/>
      <c r="E27" s="3"/>
      <c r="F27" s="3"/>
      <c r="G27" s="3"/>
    </row>
  </sheetData>
  <mergeCells count="15">
    <mergeCell ref="B21:C22"/>
    <mergeCell ref="B23:C23"/>
    <mergeCell ref="B26:C26"/>
    <mergeCell ref="D24:E24"/>
    <mergeCell ref="D25:E25"/>
    <mergeCell ref="B24:C24"/>
    <mergeCell ref="B25:C25"/>
    <mergeCell ref="F24:G24"/>
    <mergeCell ref="F25:G25"/>
    <mergeCell ref="F26:G26"/>
    <mergeCell ref="D26:E26"/>
    <mergeCell ref="F21:G22"/>
    <mergeCell ref="D21:E22"/>
    <mergeCell ref="D23:E23"/>
    <mergeCell ref="F23:G23"/>
  </mergeCells>
  <phoneticPr fontId="7" type="noConversion"/>
  <conditionalFormatting sqref="J8:P8">
    <cfRule type="dataBar" priority="2">
      <dataBar showValue="0">
        <cfvo type="num" val="0"/>
        <cfvo type="num" val="39.9"/>
        <color theme="1"/>
      </dataBar>
    </cfRule>
    <cfRule type="colorScale" priority="1">
      <colorScale>
        <cfvo type="num" val="40"/>
        <cfvo type="num" val="60"/>
        <cfvo type="num" val="80"/>
        <color theme="1"/>
        <color rgb="FFFFEB84"/>
        <color rgb="FF63BE7B"/>
      </colorScale>
    </cfRule>
  </conditionalFormatting>
  <printOptions horizontalCentered="1"/>
  <pageMargins left="0.78740157480314965" right="0.78740157480314965" top="0.98425196850393704" bottom="0.98425196850393704" header="0" footer="0"/>
  <pageSetup scale="98" orientation="portrait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pageSetUpPr fitToPage="1"/>
  </sheetPr>
  <dimension ref="A3:H45"/>
  <sheetViews>
    <sheetView showGridLines="0" zoomScaleNormal="100" workbookViewId="0">
      <selection activeCell="M34" sqref="M34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3" spans="1:8">
      <c r="A3" s="60"/>
    </row>
    <row r="4" spans="1:8" ht="12" customHeight="1">
      <c r="A4" s="60"/>
    </row>
    <row r="5" spans="1:8" ht="12" customHeight="1"/>
    <row r="7" spans="1:8" ht="24.95" customHeight="1">
      <c r="B7" s="63"/>
      <c r="H7" s="66" t="e">
        <f>datos3!B5</f>
        <v>#DIV/0!</v>
      </c>
    </row>
    <row r="8" spans="1:8" ht="24.95" customHeight="1">
      <c r="B8" s="63"/>
      <c r="H8" s="66" t="e">
        <f>datos3!B6</f>
        <v>#DIV/0!</v>
      </c>
    </row>
    <row r="9" spans="1:8" ht="24.95" customHeight="1">
      <c r="B9" s="63"/>
      <c r="H9" s="66" t="e">
        <f>datos3!B7</f>
        <v>#DIV/0!</v>
      </c>
    </row>
    <row r="10" spans="1:8" ht="24.95" customHeight="1">
      <c r="B10" s="63"/>
      <c r="H10" s="66" t="e">
        <f>datos3!B8</f>
        <v>#DIV/0!</v>
      </c>
    </row>
    <row r="11" spans="1:8" ht="24.95" customHeight="1">
      <c r="B11" s="63"/>
      <c r="H11" s="66" t="e">
        <f>datos3!B9</f>
        <v>#DIV/0!</v>
      </c>
    </row>
    <row r="12" spans="1:8" ht="24.95" customHeight="1">
      <c r="B12" s="63"/>
      <c r="H12" s="66" t="e">
        <f>datos3!B10</f>
        <v>#DIV/0!</v>
      </c>
    </row>
    <row r="13" spans="1:8" ht="24.95" customHeight="1">
      <c r="B13" s="63"/>
      <c r="H13" s="66" t="e">
        <f>datos3!B11</f>
        <v>#DIV/0!</v>
      </c>
    </row>
    <row r="14" spans="1:8" ht="24.95" customHeight="1">
      <c r="B14" s="63"/>
      <c r="H14" s="66" t="e">
        <f>datos3!B12</f>
        <v>#DIV/0!</v>
      </c>
    </row>
    <row r="15" spans="1:8" ht="24.95" customHeight="1">
      <c r="B15" s="63"/>
      <c r="H15" s="66">
        <f>datos3!B13</f>
        <v>100</v>
      </c>
    </row>
    <row r="16" spans="1:8" ht="24.95" customHeight="1">
      <c r="B16" s="63"/>
      <c r="H16" s="66">
        <f>datos3!B14</f>
        <v>50</v>
      </c>
    </row>
    <row r="17" spans="2:8" ht="24.95" customHeight="1">
      <c r="B17" s="63"/>
      <c r="H17" s="66" t="e">
        <f>datos3!B15</f>
        <v>#DIV/0!</v>
      </c>
    </row>
    <row r="18" spans="2:8">
      <c r="H18" s="65"/>
    </row>
    <row r="19" spans="2:8">
      <c r="F19" s="184" t="s">
        <v>37</v>
      </c>
      <c r="G19" s="185" t="s">
        <v>50</v>
      </c>
      <c r="H19" s="86"/>
    </row>
    <row r="20" spans="2:8">
      <c r="F20" s="184" t="s">
        <v>45</v>
      </c>
      <c r="G20" s="185" t="s">
        <v>47</v>
      </c>
      <c r="H20" s="87"/>
    </row>
    <row r="21" spans="2:8">
      <c r="F21" s="184" t="s">
        <v>39</v>
      </c>
      <c r="G21" s="185" t="s">
        <v>48</v>
      </c>
      <c r="H21" s="88"/>
    </row>
    <row r="22" spans="2:8" ht="13.5" customHeight="1">
      <c r="F22" s="184" t="s">
        <v>40</v>
      </c>
      <c r="G22" s="185" t="s">
        <v>49</v>
      </c>
      <c r="H22" s="89"/>
    </row>
    <row r="23" spans="2:8" ht="12" customHeight="1"/>
    <row r="24" spans="2:8" ht="12.75" customHeight="1"/>
    <row r="27" spans="2:8" ht="12" customHeight="1"/>
    <row r="28" spans="2:8" ht="12" customHeight="1"/>
    <row r="29" spans="2:8" ht="19.5" customHeight="1"/>
    <row r="30" spans="2:8" ht="24.95" customHeight="1">
      <c r="H30" s="66" t="e">
        <f>datos3!D5</f>
        <v>#DIV/0!</v>
      </c>
    </row>
    <row r="31" spans="2:8" ht="24.95" customHeight="1">
      <c r="H31" s="66" t="e">
        <f>datos3!D6</f>
        <v>#DIV/0!</v>
      </c>
    </row>
    <row r="32" spans="2:8" ht="24.95" customHeight="1">
      <c r="H32" s="66" t="e">
        <f>datos3!D7</f>
        <v>#DIV/0!</v>
      </c>
    </row>
    <row r="33" spans="1:8" ht="24.95" customHeight="1">
      <c r="H33" s="66" t="e">
        <f>datos3!D8</f>
        <v>#DIV/0!</v>
      </c>
    </row>
    <row r="34" spans="1:8" ht="24.95" customHeight="1">
      <c r="H34" s="66" t="e">
        <f>datos3!D9</f>
        <v>#DIV/0!</v>
      </c>
    </row>
    <row r="35" spans="1:8" ht="24.95" customHeight="1">
      <c r="H35" s="66" t="e">
        <f>datos3!D10</f>
        <v>#DIV/0!</v>
      </c>
    </row>
    <row r="36" spans="1:8" ht="24.95" customHeight="1">
      <c r="H36" s="66" t="e">
        <f>datos3!D11</f>
        <v>#DIV/0!</v>
      </c>
    </row>
    <row r="37" spans="1:8" ht="24.95" customHeight="1">
      <c r="H37" s="66" t="e">
        <f>datos3!D12</f>
        <v>#DIV/0!</v>
      </c>
    </row>
    <row r="38" spans="1:8" ht="24.95" customHeight="1">
      <c r="H38" s="66">
        <f>datos3!D13</f>
        <v>100</v>
      </c>
    </row>
    <row r="39" spans="1:8" ht="24.95" customHeight="1">
      <c r="H39" s="66">
        <f>datos3!D14</f>
        <v>100</v>
      </c>
    </row>
    <row r="40" spans="1:8" ht="24.95" customHeight="1">
      <c r="H40" s="66" t="e">
        <f>datos3!D15</f>
        <v>#DIV/0!</v>
      </c>
    </row>
    <row r="41" spans="1:8" ht="20.100000000000001" customHeight="1">
      <c r="A41" s="91"/>
      <c r="B41" s="95"/>
      <c r="C41" s="95"/>
      <c r="D41" s="95"/>
      <c r="E41" s="95"/>
      <c r="F41" s="95"/>
      <c r="G41" s="95"/>
    </row>
    <row r="42" spans="1:8">
      <c r="F42" s="184" t="s">
        <v>37</v>
      </c>
      <c r="G42" s="185" t="s">
        <v>50</v>
      </c>
      <c r="H42" s="86"/>
    </row>
    <row r="43" spans="1:8">
      <c r="F43" s="184" t="s">
        <v>45</v>
      </c>
      <c r="G43" s="185" t="s">
        <v>51</v>
      </c>
      <c r="H43" s="87"/>
    </row>
    <row r="44" spans="1:8">
      <c r="F44" s="184" t="s">
        <v>39</v>
      </c>
      <c r="G44" s="185" t="s">
        <v>52</v>
      </c>
      <c r="H44" s="88"/>
    </row>
    <row r="45" spans="1:8">
      <c r="F45" s="184" t="s">
        <v>40</v>
      </c>
      <c r="G45" s="185" t="s">
        <v>53</v>
      </c>
      <c r="H45" s="89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>
    <pageSetUpPr fitToPage="1"/>
  </sheetPr>
  <dimension ref="A3:H45"/>
  <sheetViews>
    <sheetView showGridLines="0" zoomScaleNormal="100" workbookViewId="0">
      <selection activeCell="J20" sqref="J20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3" spans="1:8">
      <c r="A3" s="60"/>
    </row>
    <row r="4" spans="1:8" ht="12" customHeight="1">
      <c r="A4" s="60"/>
    </row>
    <row r="5" spans="1:8" ht="12" customHeight="1"/>
    <row r="7" spans="1:8" ht="24.95" customHeight="1">
      <c r="B7" s="63"/>
      <c r="H7" s="66" t="e">
        <f>datos3!F5</f>
        <v>#DIV/0!</v>
      </c>
    </row>
    <row r="8" spans="1:8" ht="24.95" customHeight="1">
      <c r="B8" s="63"/>
      <c r="H8" s="66" t="e">
        <f>datos3!F6</f>
        <v>#DIV/0!</v>
      </c>
    </row>
    <row r="9" spans="1:8" ht="24.95" customHeight="1">
      <c r="B9" s="63"/>
      <c r="H9" s="66" t="e">
        <f>datos3!F7</f>
        <v>#DIV/0!</v>
      </c>
    </row>
    <row r="10" spans="1:8" ht="24.95" customHeight="1">
      <c r="B10" s="63"/>
      <c r="H10" s="66" t="e">
        <f>datos3!F8</f>
        <v>#DIV/0!</v>
      </c>
    </row>
    <row r="11" spans="1:8" ht="24.95" customHeight="1">
      <c r="B11" s="63"/>
      <c r="H11" s="66" t="e">
        <f>datos3!F9</f>
        <v>#DIV/0!</v>
      </c>
    </row>
    <row r="12" spans="1:8" ht="24.95" customHeight="1">
      <c r="B12" s="63"/>
      <c r="H12" s="66" t="e">
        <f>datos3!F10</f>
        <v>#DIV/0!</v>
      </c>
    </row>
    <row r="13" spans="1:8" ht="24.95" customHeight="1">
      <c r="B13" s="63"/>
      <c r="H13" s="66">
        <f>datos3!F11</f>
        <v>100</v>
      </c>
    </row>
    <row r="14" spans="1:8" ht="24.95" customHeight="1">
      <c r="B14" s="63"/>
      <c r="H14" s="66">
        <f>datos3!F12</f>
        <v>100</v>
      </c>
    </row>
    <row r="15" spans="1:8" ht="24.95" customHeight="1">
      <c r="B15" s="63"/>
      <c r="H15" s="66">
        <f>datos3!F13</f>
        <v>80</v>
      </c>
    </row>
    <row r="16" spans="1:8" ht="24.95" customHeight="1">
      <c r="B16" s="63"/>
      <c r="H16" s="66">
        <f>datos3!F14</f>
        <v>40</v>
      </c>
    </row>
    <row r="17" spans="2:8" ht="24.95" customHeight="1">
      <c r="B17" s="63"/>
      <c r="H17" s="66" t="e">
        <f>datos3!F15</f>
        <v>#DIV/0!</v>
      </c>
    </row>
    <row r="18" spans="2:8">
      <c r="H18" s="65"/>
    </row>
    <row r="19" spans="2:8">
      <c r="F19" s="184" t="s">
        <v>37</v>
      </c>
      <c r="G19" s="185" t="s">
        <v>59</v>
      </c>
      <c r="H19" s="86"/>
    </row>
    <row r="20" spans="2:8" ht="13.5" customHeight="1">
      <c r="F20" s="184" t="s">
        <v>45</v>
      </c>
      <c r="G20" s="185" t="s">
        <v>60</v>
      </c>
      <c r="H20" s="87"/>
    </row>
    <row r="21" spans="2:8" ht="13.5" customHeight="1">
      <c r="F21" s="184" t="s">
        <v>39</v>
      </c>
      <c r="G21" s="185" t="s">
        <v>61</v>
      </c>
      <c r="H21" s="88"/>
    </row>
    <row r="22" spans="2:8" ht="13.5" customHeight="1">
      <c r="F22" s="184" t="s">
        <v>40</v>
      </c>
      <c r="G22" s="185" t="s">
        <v>62</v>
      </c>
      <c r="H22" s="89"/>
    </row>
    <row r="23" spans="2:8" ht="12" customHeight="1"/>
    <row r="24" spans="2:8" ht="12.75" customHeight="1"/>
    <row r="27" spans="2:8" ht="12" customHeight="1"/>
    <row r="30" spans="2:8" ht="24.95" customHeight="1">
      <c r="H30" s="66" t="e">
        <f>datos3!H5</f>
        <v>#DIV/0!</v>
      </c>
    </row>
    <row r="31" spans="2:8" ht="24.95" customHeight="1">
      <c r="H31" s="66" t="e">
        <f>datos3!H6</f>
        <v>#DIV/0!</v>
      </c>
    </row>
    <row r="32" spans="2:8" ht="24.95" customHeight="1">
      <c r="H32" s="66" t="e">
        <f>datos3!H7</f>
        <v>#DIV/0!</v>
      </c>
    </row>
    <row r="33" spans="1:8" ht="24.95" customHeight="1">
      <c r="H33" s="66" t="e">
        <f>datos3!H8</f>
        <v>#DIV/0!</v>
      </c>
    </row>
    <row r="34" spans="1:8" ht="24.95" customHeight="1">
      <c r="H34" s="66" t="e">
        <f>datos3!H9</f>
        <v>#DIV/0!</v>
      </c>
    </row>
    <row r="35" spans="1:8" ht="24.95" customHeight="1">
      <c r="H35" s="66" t="e">
        <f>datos3!H10</f>
        <v>#DIV/0!</v>
      </c>
    </row>
    <row r="36" spans="1:8" ht="24.95" customHeight="1">
      <c r="H36" s="66">
        <f>datos3!H11</f>
        <v>100</v>
      </c>
    </row>
    <row r="37" spans="1:8" ht="24.95" customHeight="1">
      <c r="H37" s="66">
        <f>datos3!H12</f>
        <v>100</v>
      </c>
    </row>
    <row r="38" spans="1:8" ht="24.95" customHeight="1">
      <c r="H38" s="66">
        <f>datos3!H13</f>
        <v>88.888888888888886</v>
      </c>
    </row>
    <row r="39" spans="1:8" ht="24.95" customHeight="1">
      <c r="H39" s="66">
        <f>datos3!H14</f>
        <v>53.846153846153847</v>
      </c>
    </row>
    <row r="40" spans="1:8" ht="24.95" customHeight="1">
      <c r="H40" s="66" t="e">
        <f>datos3!H15</f>
        <v>#DIV/0!</v>
      </c>
    </row>
    <row r="41" spans="1:8" ht="15.75">
      <c r="A41" s="91"/>
      <c r="B41" s="95"/>
      <c r="C41" s="95"/>
      <c r="D41" s="95"/>
      <c r="E41" s="95"/>
      <c r="F41" s="95"/>
      <c r="G41" s="95"/>
    </row>
    <row r="42" spans="1:8">
      <c r="F42" s="184" t="s">
        <v>37</v>
      </c>
      <c r="G42" s="185" t="s">
        <v>54</v>
      </c>
      <c r="H42" s="86"/>
    </row>
    <row r="43" spans="1:8">
      <c r="F43" s="184" t="s">
        <v>45</v>
      </c>
      <c r="G43" s="185" t="s">
        <v>55</v>
      </c>
      <c r="H43" s="87"/>
    </row>
    <row r="44" spans="1:8">
      <c r="F44" s="184" t="s">
        <v>39</v>
      </c>
      <c r="G44" s="185" t="s">
        <v>56</v>
      </c>
      <c r="H44" s="88"/>
    </row>
    <row r="45" spans="1:8">
      <c r="F45" s="184" t="s">
        <v>40</v>
      </c>
      <c r="G45" s="185" t="s">
        <v>46</v>
      </c>
      <c r="H45" s="89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6">
    <pageSetUpPr fitToPage="1"/>
  </sheetPr>
  <dimension ref="A4:R25"/>
  <sheetViews>
    <sheetView showGridLines="0" topLeftCell="A4" zoomScaleNormal="100" workbookViewId="0">
      <selection activeCell="Q21" sqref="Q21"/>
    </sheetView>
  </sheetViews>
  <sheetFormatPr baseColWidth="10" defaultColWidth="11.42578125" defaultRowHeight="12.75"/>
  <cols>
    <col min="1" max="1" width="10" customWidth="1"/>
    <col min="2" max="3" width="9.7109375" customWidth="1"/>
    <col min="4" max="5" width="12.7109375" customWidth="1"/>
    <col min="6" max="6" width="11.42578125" customWidth="1"/>
    <col min="7" max="7" width="4.7109375" customWidth="1"/>
    <col min="9" max="9" width="9.140625" customWidth="1"/>
    <col min="10" max="10" width="0.42578125" hidden="1" customWidth="1"/>
    <col min="11" max="12" width="8.7109375" customWidth="1"/>
    <col min="13" max="13" width="1.28515625" customWidth="1"/>
    <col min="14" max="18" width="8.7109375" customWidth="1"/>
  </cols>
  <sheetData>
    <row r="4" spans="1:18">
      <c r="A4" s="146"/>
      <c r="B4" s="146"/>
      <c r="C4" s="146"/>
      <c r="D4" s="146"/>
      <c r="E4" s="146"/>
      <c r="F4" s="146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</row>
    <row r="5" spans="1:18">
      <c r="A5" s="213"/>
      <c r="B5" s="213"/>
      <c r="C5" s="213"/>
      <c r="D5" s="213"/>
      <c r="E5" s="213"/>
      <c r="F5" s="213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</row>
    <row r="6" spans="1:18">
      <c r="A6" s="146"/>
      <c r="B6" s="146"/>
      <c r="C6" s="146"/>
      <c r="D6" s="146"/>
      <c r="E6" s="146"/>
      <c r="F6" s="146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</row>
    <row r="7" spans="1:18">
      <c r="A7" s="146"/>
      <c r="B7" s="146"/>
      <c r="C7" s="146"/>
      <c r="D7" s="146"/>
      <c r="E7" s="146"/>
      <c r="F7" s="146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</row>
    <row r="8" spans="1:18">
      <c r="A8" s="146"/>
      <c r="B8" s="146"/>
      <c r="C8" s="146"/>
      <c r="D8" s="147"/>
      <c r="E8" s="147"/>
      <c r="F8" s="147"/>
      <c r="G8" s="154"/>
      <c r="H8" s="154"/>
      <c r="I8" s="153"/>
      <c r="J8" s="284"/>
      <c r="K8" s="153"/>
      <c r="L8" s="153"/>
      <c r="M8" s="153"/>
      <c r="N8" s="153"/>
      <c r="O8" s="153"/>
      <c r="P8" s="153"/>
      <c r="Q8" s="153"/>
      <c r="R8" s="153"/>
    </row>
    <row r="9" spans="1:18" ht="37.5" customHeight="1">
      <c r="A9" s="146"/>
      <c r="B9" s="146"/>
      <c r="C9" s="146"/>
      <c r="D9" s="146"/>
      <c r="E9" s="146"/>
      <c r="F9" s="146"/>
      <c r="G9" s="153"/>
      <c r="H9" s="153"/>
      <c r="I9" s="153"/>
      <c r="J9" s="284"/>
      <c r="K9" s="153"/>
      <c r="L9" s="153"/>
      <c r="M9" s="153"/>
      <c r="N9" s="285" t="s">
        <v>41</v>
      </c>
      <c r="O9" s="286"/>
      <c r="P9" s="210" t="str">
        <f>C10</f>
        <v>1er. Semestre 2013</v>
      </c>
      <c r="Q9" s="211" t="s">
        <v>42</v>
      </c>
      <c r="R9" s="212" t="str">
        <f>B10</f>
        <v>1er. Semestre 2012</v>
      </c>
    </row>
    <row r="10" spans="1:18" ht="34.5" customHeight="1">
      <c r="A10" s="148" t="str">
        <f>datos2!A6</f>
        <v>Jurisdicción Sanitaria</v>
      </c>
      <c r="B10" s="149" t="str">
        <f>datos2!C6</f>
        <v>1er. Semestre 2012</v>
      </c>
      <c r="C10" s="149" t="str">
        <f>datos2!D6</f>
        <v>1er. Semestre 2013</v>
      </c>
      <c r="D10" s="146"/>
      <c r="E10" s="146"/>
      <c r="F10" s="146"/>
      <c r="G10" s="153"/>
      <c r="H10" s="153"/>
      <c r="I10" s="153"/>
      <c r="J10" s="153"/>
      <c r="K10" s="155"/>
      <c r="L10" s="156"/>
      <c r="M10" s="156"/>
      <c r="N10" s="209">
        <v>1</v>
      </c>
      <c r="O10" s="209">
        <v>2</v>
      </c>
      <c r="P10" s="209">
        <v>3</v>
      </c>
      <c r="Q10" s="209">
        <v>4</v>
      </c>
      <c r="R10" s="209" t="s">
        <v>43</v>
      </c>
    </row>
    <row r="11" spans="1:18" ht="24.95" customHeight="1">
      <c r="A11" s="150" t="str">
        <f>datos2!A7</f>
        <v>Tuxtla</v>
      </c>
      <c r="B11" s="151">
        <f>datos2!C7</f>
        <v>100</v>
      </c>
      <c r="C11" s="151" t="e">
        <f>datos2!D7</f>
        <v>#DIV/0!</v>
      </c>
      <c r="D11" s="146"/>
      <c r="E11" s="146"/>
      <c r="F11" s="146"/>
      <c r="G11" s="153"/>
      <c r="H11" s="153"/>
      <c r="I11" s="153"/>
      <c r="J11" s="153"/>
      <c r="K11" s="157" t="str">
        <f t="shared" ref="K11:K21" si="0">A11</f>
        <v>Tuxtla</v>
      </c>
      <c r="L11" s="158" t="e">
        <f>datos2!E7</f>
        <v>#DIV/0!</v>
      </c>
      <c r="M11" s="156"/>
      <c r="N11" s="159" t="e">
        <f>datos2!J7</f>
        <v>#DIV/0!</v>
      </c>
      <c r="O11" s="159" t="e">
        <f>datos2!K7</f>
        <v>#DIV/0!</v>
      </c>
      <c r="P11" s="159" t="e">
        <f>datos2!L7</f>
        <v>#DIV/0!</v>
      </c>
      <c r="Q11" s="159">
        <f>datos2!M7</f>
        <v>0</v>
      </c>
      <c r="R11" s="159">
        <f>datos2!N7</f>
        <v>0</v>
      </c>
    </row>
    <row r="12" spans="1:18" ht="24.95" customHeight="1">
      <c r="A12" s="150" t="str">
        <f>datos2!A8</f>
        <v>San Cristóbal</v>
      </c>
      <c r="B12" s="151" t="e">
        <f>datos2!C8</f>
        <v>#DIV/0!</v>
      </c>
      <c r="C12" s="151" t="e">
        <f>datos2!D8</f>
        <v>#DIV/0!</v>
      </c>
      <c r="D12" s="146"/>
      <c r="E12" s="146"/>
      <c r="F12" s="146"/>
      <c r="G12" s="153"/>
      <c r="H12" s="153"/>
      <c r="I12" s="153"/>
      <c r="J12" s="153"/>
      <c r="K12" s="157" t="str">
        <f t="shared" si="0"/>
        <v>San Cristóbal</v>
      </c>
      <c r="L12" s="158" t="e">
        <f>datos2!E8</f>
        <v>#DIV/0!</v>
      </c>
      <c r="M12" s="156"/>
      <c r="N12" s="159" t="e">
        <f>datos2!J8</f>
        <v>#DIV/0!</v>
      </c>
      <c r="O12" s="159" t="e">
        <f>datos2!K8</f>
        <v>#DIV/0!</v>
      </c>
      <c r="P12" s="159" t="e">
        <f>datos2!L8</f>
        <v>#DIV/0!</v>
      </c>
      <c r="Q12" s="159" t="e">
        <f>datos2!M8</f>
        <v>#DIV/0!</v>
      </c>
      <c r="R12" s="159" t="e">
        <f>datos2!N8</f>
        <v>#DIV/0!</v>
      </c>
    </row>
    <row r="13" spans="1:18" ht="24.95" customHeight="1">
      <c r="A13" s="150" t="str">
        <f>datos2!A9</f>
        <v>Villaflores</v>
      </c>
      <c r="B13" s="151" t="e">
        <f>datos2!C9</f>
        <v>#DIV/0!</v>
      </c>
      <c r="C13" s="151" t="e">
        <f>datos2!D9</f>
        <v>#DIV/0!</v>
      </c>
      <c r="D13" s="146"/>
      <c r="E13" s="146"/>
      <c r="F13" s="146"/>
      <c r="G13" s="153"/>
      <c r="H13" s="153"/>
      <c r="I13" s="153"/>
      <c r="J13" s="153"/>
      <c r="K13" s="157" t="str">
        <f t="shared" si="0"/>
        <v>Villaflores</v>
      </c>
      <c r="L13" s="158" t="e">
        <f>datos2!E9</f>
        <v>#DIV/0!</v>
      </c>
      <c r="M13" s="156"/>
      <c r="N13" s="159" t="e">
        <f>datos2!J9</f>
        <v>#DIV/0!</v>
      </c>
      <c r="O13" s="159" t="e">
        <f>datos2!K9</f>
        <v>#DIV/0!</v>
      </c>
      <c r="P13" s="159" t="e">
        <f>datos2!L9</f>
        <v>#DIV/0!</v>
      </c>
      <c r="Q13" s="159" t="e">
        <f>datos2!M9</f>
        <v>#DIV/0!</v>
      </c>
      <c r="R13" s="159" t="e">
        <f>datos2!N9</f>
        <v>#DIV/0!</v>
      </c>
    </row>
    <row r="14" spans="1:18" ht="24.95" customHeight="1">
      <c r="A14" s="150" t="str">
        <f>datos2!A10</f>
        <v>Pichucalco</v>
      </c>
      <c r="B14" s="151" t="e">
        <f>datos2!C10</f>
        <v>#DIV/0!</v>
      </c>
      <c r="C14" s="151" t="e">
        <f>datos2!D10</f>
        <v>#DIV/0!</v>
      </c>
      <c r="D14" s="146"/>
      <c r="E14" s="146"/>
      <c r="F14" s="146"/>
      <c r="G14" s="153"/>
      <c r="H14" s="153"/>
      <c r="I14" s="153"/>
      <c r="J14" s="153"/>
      <c r="K14" s="157" t="str">
        <f t="shared" si="0"/>
        <v>Pichucalco</v>
      </c>
      <c r="L14" s="158" t="e">
        <f>datos2!E10</f>
        <v>#DIV/0!</v>
      </c>
      <c r="M14" s="156"/>
      <c r="N14" s="159" t="e">
        <f>datos2!J10</f>
        <v>#DIV/0!</v>
      </c>
      <c r="O14" s="159" t="e">
        <f>datos2!K10</f>
        <v>#DIV/0!</v>
      </c>
      <c r="P14" s="159" t="e">
        <f>datos2!L10</f>
        <v>#DIV/0!</v>
      </c>
      <c r="Q14" s="159" t="e">
        <f>datos2!M10</f>
        <v>#DIV/0!</v>
      </c>
      <c r="R14" s="159" t="e">
        <f>datos2!N10</f>
        <v>#DIV/0!</v>
      </c>
    </row>
    <row r="15" spans="1:18" ht="24.95" customHeight="1">
      <c r="A15" s="150" t="str">
        <f>datos2!A11</f>
        <v>Palenque</v>
      </c>
      <c r="B15" s="151" t="e">
        <f>datos2!C11</f>
        <v>#DIV/0!</v>
      </c>
      <c r="C15" s="151" t="e">
        <f>datos2!D11</f>
        <v>#DIV/0!</v>
      </c>
      <c r="D15" s="146"/>
      <c r="E15" s="146"/>
      <c r="F15" s="146"/>
      <c r="G15" s="153"/>
      <c r="H15" s="153"/>
      <c r="I15" s="153"/>
      <c r="J15" s="153"/>
      <c r="K15" s="157" t="str">
        <f t="shared" si="0"/>
        <v>Palenque</v>
      </c>
      <c r="L15" s="158" t="e">
        <f>datos2!E11</f>
        <v>#DIV/0!</v>
      </c>
      <c r="M15" s="156"/>
      <c r="N15" s="159" t="e">
        <f>datos2!J11</f>
        <v>#DIV/0!</v>
      </c>
      <c r="O15" s="159" t="e">
        <f>datos2!K11</f>
        <v>#DIV/0!</v>
      </c>
      <c r="P15" s="159" t="e">
        <f>datos2!L11</f>
        <v>#DIV/0!</v>
      </c>
      <c r="Q15" s="159" t="e">
        <f>datos2!M11</f>
        <v>#DIV/0!</v>
      </c>
      <c r="R15" s="159" t="e">
        <f>datos2!N11</f>
        <v>#DIV/0!</v>
      </c>
    </row>
    <row r="16" spans="1:18" ht="24.95" customHeight="1">
      <c r="A16" s="150" t="str">
        <f>datos2!A12</f>
        <v>Tapachula</v>
      </c>
      <c r="B16" s="151">
        <f>datos2!C12</f>
        <v>100</v>
      </c>
      <c r="C16" s="151" t="e">
        <f>datos2!D12</f>
        <v>#DIV/0!</v>
      </c>
      <c r="D16" s="146"/>
      <c r="E16" s="146"/>
      <c r="F16" s="146"/>
      <c r="G16" s="153"/>
      <c r="H16" s="153"/>
      <c r="I16" s="153"/>
      <c r="J16" s="153"/>
      <c r="K16" s="157" t="str">
        <f t="shared" si="0"/>
        <v>Tapachula</v>
      </c>
      <c r="L16" s="158" t="e">
        <f>datos2!E12</f>
        <v>#DIV/0!</v>
      </c>
      <c r="M16" s="156"/>
      <c r="N16" s="159" t="e">
        <f>datos2!J12</f>
        <v>#DIV/0!</v>
      </c>
      <c r="O16" s="159" t="e">
        <f>datos2!K12</f>
        <v>#DIV/0!</v>
      </c>
      <c r="P16" s="159" t="e">
        <f>datos2!L12</f>
        <v>#DIV/0!</v>
      </c>
      <c r="Q16" s="159">
        <f>datos2!M12</f>
        <v>0</v>
      </c>
      <c r="R16" s="159">
        <f>datos2!N12</f>
        <v>0</v>
      </c>
    </row>
    <row r="17" spans="1:18" ht="24.95" customHeight="1">
      <c r="A17" s="150" t="str">
        <f>datos2!A13</f>
        <v>Ocosingo</v>
      </c>
      <c r="B17" s="151" t="e">
        <f>datos2!C13</f>
        <v>#DIV/0!</v>
      </c>
      <c r="C17" s="151" t="e">
        <f>datos2!D13</f>
        <v>#DIV/0!</v>
      </c>
      <c r="D17" s="146"/>
      <c r="E17" s="146"/>
      <c r="F17" s="146"/>
      <c r="G17" s="153"/>
      <c r="H17" s="153"/>
      <c r="I17" s="153"/>
      <c r="J17" s="153"/>
      <c r="K17" s="157" t="str">
        <f t="shared" si="0"/>
        <v>Ocosingo</v>
      </c>
      <c r="L17" s="158" t="e">
        <f>datos2!E13</f>
        <v>#DIV/0!</v>
      </c>
      <c r="M17" s="156"/>
      <c r="N17" s="159" t="e">
        <f>datos2!J13</f>
        <v>#DIV/0!</v>
      </c>
      <c r="O17" s="159" t="e">
        <f>datos2!K13</f>
        <v>#DIV/0!</v>
      </c>
      <c r="P17" s="159" t="e">
        <f>datos2!L13</f>
        <v>#DIV/0!</v>
      </c>
      <c r="Q17" s="159" t="e">
        <f>datos2!M13</f>
        <v>#DIV/0!</v>
      </c>
      <c r="R17" s="159" t="e">
        <f>datos2!N13</f>
        <v>#DIV/0!</v>
      </c>
    </row>
    <row r="18" spans="1:18" ht="24.95" customHeight="1">
      <c r="A18" s="150" t="str">
        <f>datos2!A14</f>
        <v>Motozintla</v>
      </c>
      <c r="B18" s="151" t="e">
        <f>datos2!C14</f>
        <v>#DIV/0!</v>
      </c>
      <c r="C18" s="151" t="e">
        <f>datos2!D14</f>
        <v>#DIV/0!</v>
      </c>
      <c r="D18" s="146"/>
      <c r="E18" s="146"/>
      <c r="F18" s="146"/>
      <c r="G18" s="153"/>
      <c r="H18" s="153"/>
      <c r="I18" s="153"/>
      <c r="J18" s="153"/>
      <c r="K18" s="157" t="str">
        <f t="shared" si="0"/>
        <v>Motozintla</v>
      </c>
      <c r="L18" s="158" t="e">
        <f>datos2!E14</f>
        <v>#DIV/0!</v>
      </c>
      <c r="M18" s="156"/>
      <c r="N18" s="159" t="e">
        <f>datos2!J14</f>
        <v>#DIV/0!</v>
      </c>
      <c r="O18" s="159" t="e">
        <f>datos2!K14</f>
        <v>#DIV/0!</v>
      </c>
      <c r="P18" s="159" t="e">
        <f>datos2!L14</f>
        <v>#DIV/0!</v>
      </c>
      <c r="Q18" s="159" t="e">
        <f>datos2!M14</f>
        <v>#DIV/0!</v>
      </c>
      <c r="R18" s="159" t="e">
        <f>datos2!N14</f>
        <v>#DIV/0!</v>
      </c>
    </row>
    <row r="19" spans="1:18" ht="24.95" customHeight="1">
      <c r="A19" s="150" t="str">
        <f>datos2!A15</f>
        <v>Comitán</v>
      </c>
      <c r="B19" s="151" t="e">
        <f>datos2!C15</f>
        <v>#DIV/0!</v>
      </c>
      <c r="C19" s="151">
        <f>datos2!D15</f>
        <v>91.820254651642614</v>
      </c>
      <c r="D19" s="146"/>
      <c r="E19" s="146"/>
      <c r="F19" s="146"/>
      <c r="G19" s="153"/>
      <c r="H19" s="153"/>
      <c r="I19" s="153"/>
      <c r="J19" s="153"/>
      <c r="K19" s="157" t="str">
        <f t="shared" si="0"/>
        <v>Comitán</v>
      </c>
      <c r="L19" s="158" t="e">
        <f>datos2!E15</f>
        <v>#DIV/0!</v>
      </c>
      <c r="M19" s="156"/>
      <c r="N19" s="159" t="e">
        <f>datos2!J15</f>
        <v>#DIV/0!</v>
      </c>
      <c r="O19" s="159" t="e">
        <f>datos2!K15</f>
        <v>#DIV/0!</v>
      </c>
      <c r="P19" s="159" t="e">
        <f>datos2!L15</f>
        <v>#DIV/0!</v>
      </c>
      <c r="Q19" s="159">
        <f>datos2!M15</f>
        <v>6.666666666666667</v>
      </c>
      <c r="R19" s="159">
        <f>datos2!N15</f>
        <v>-0.92592592592592615</v>
      </c>
    </row>
    <row r="20" spans="1:18" ht="24.95" customHeight="1">
      <c r="A20" s="150" t="str">
        <f>datos2!A16</f>
        <v>Tonalá</v>
      </c>
      <c r="B20" s="151" t="e">
        <f>datos2!C16</f>
        <v>#DIV/0!</v>
      </c>
      <c r="C20" s="151">
        <f>datos2!D16</f>
        <v>58.341709956248501</v>
      </c>
      <c r="D20" s="146"/>
      <c r="E20" s="146"/>
      <c r="F20" s="146"/>
      <c r="G20" s="153"/>
      <c r="H20" s="153"/>
      <c r="I20" s="153"/>
      <c r="J20" s="153"/>
      <c r="K20" s="157" t="str">
        <f t="shared" si="0"/>
        <v>Tonalá</v>
      </c>
      <c r="L20" s="158" t="e">
        <f>datos2!E16</f>
        <v>#DIV/0!</v>
      </c>
      <c r="M20" s="156"/>
      <c r="N20" s="159" t="e">
        <f>datos2!J16</f>
        <v>#DIV/0!</v>
      </c>
      <c r="O20" s="159" t="e">
        <f>datos2!K16</f>
        <v>#DIV/0!</v>
      </c>
      <c r="P20" s="159" t="e">
        <f>datos2!L16</f>
        <v>#DIV/0!</v>
      </c>
      <c r="Q20" s="159">
        <f>datos2!M16</f>
        <v>3.3333333333333335</v>
      </c>
      <c r="R20" s="159">
        <f>datos2!N16</f>
        <v>-2.3580586080586077</v>
      </c>
    </row>
    <row r="21" spans="1:18" ht="24.95" customHeight="1">
      <c r="A21" s="152" t="str">
        <f>datos2!A17</f>
        <v>Estatal</v>
      </c>
      <c r="B21" s="151" t="e">
        <f>datos2!C17</f>
        <v>#DIV/0!</v>
      </c>
      <c r="C21" s="151" t="e">
        <f>datos2!D17</f>
        <v>#DIV/0!</v>
      </c>
      <c r="D21" s="146"/>
      <c r="E21" s="146"/>
      <c r="F21" s="146"/>
      <c r="G21" s="153"/>
      <c r="H21" s="153"/>
      <c r="I21" s="153"/>
      <c r="J21" s="153"/>
      <c r="K21" s="160" t="str">
        <f t="shared" si="0"/>
        <v>Estatal</v>
      </c>
      <c r="L21" s="158" t="e">
        <f>datos2!E17</f>
        <v>#DIV/0!</v>
      </c>
      <c r="M21" s="161"/>
      <c r="N21" s="162" t="e">
        <f>datos2!J17</f>
        <v>#DIV/0!</v>
      </c>
      <c r="O21" s="162" t="e">
        <f>datos2!K17</f>
        <v>#DIV/0!</v>
      </c>
      <c r="P21" s="162" t="e">
        <f>datos2!L17</f>
        <v>#DIV/0!</v>
      </c>
      <c r="Q21" s="162" t="e">
        <f>datos2!M17</f>
        <v>#DIV/0!</v>
      </c>
      <c r="R21" s="162" t="e">
        <f>datos2!N17</f>
        <v>#DIV/0!</v>
      </c>
    </row>
    <row r="22" spans="1:18" ht="12.75" customHeight="1">
      <c r="A22" s="146"/>
      <c r="B22" s="146"/>
      <c r="C22" s="146"/>
      <c r="D22" s="146"/>
      <c r="E22" s="146"/>
      <c r="F22" s="146"/>
      <c r="G22" s="153"/>
      <c r="H22" s="153"/>
      <c r="I22" s="153"/>
      <c r="J22" s="153"/>
      <c r="K22" s="153"/>
      <c r="L22" s="153"/>
      <c r="M22" s="153"/>
      <c r="N22" s="163"/>
      <c r="O22" s="164"/>
      <c r="P22" s="164"/>
      <c r="Q22" s="164"/>
      <c r="R22" s="164"/>
    </row>
    <row r="23" spans="1:18">
      <c r="A23" s="146"/>
      <c r="B23" s="146"/>
      <c r="C23" s="146"/>
      <c r="D23" s="146"/>
      <c r="E23" s="146"/>
      <c r="F23" s="146"/>
      <c r="G23" s="165" t="s">
        <v>76</v>
      </c>
      <c r="H23" s="165"/>
      <c r="I23" s="166" t="s">
        <v>69</v>
      </c>
      <c r="J23" s="166"/>
      <c r="K23" s="166"/>
      <c r="L23" s="166"/>
      <c r="M23" s="166"/>
      <c r="N23" s="166"/>
      <c r="O23" s="282" t="s">
        <v>83</v>
      </c>
      <c r="P23" s="283"/>
      <c r="Q23" s="283"/>
      <c r="R23" s="283"/>
    </row>
    <row r="24" spans="1:18">
      <c r="A24" s="146"/>
      <c r="B24" s="146"/>
      <c r="C24" s="146"/>
      <c r="D24" s="146"/>
      <c r="E24" s="146"/>
      <c r="F24" s="146"/>
      <c r="G24" s="167"/>
      <c r="H24" s="167"/>
      <c r="I24" s="168" t="s">
        <v>84</v>
      </c>
      <c r="J24" s="169"/>
      <c r="K24" s="169"/>
      <c r="L24" s="169"/>
      <c r="M24" s="169"/>
      <c r="N24" s="166"/>
      <c r="O24" s="282" t="s">
        <v>85</v>
      </c>
      <c r="P24" s="283"/>
      <c r="Q24" s="283"/>
      <c r="R24" s="283"/>
    </row>
    <row r="25" spans="1:18">
      <c r="A25" s="146"/>
      <c r="B25" s="146"/>
      <c r="C25" s="146"/>
      <c r="D25" s="146"/>
      <c r="E25" s="146"/>
      <c r="F25" s="146"/>
      <c r="G25" s="170"/>
      <c r="H25" s="171"/>
      <c r="I25" s="172"/>
      <c r="J25" s="172"/>
      <c r="K25" s="172"/>
      <c r="L25" s="172"/>
      <c r="M25" s="166"/>
      <c r="N25" s="166"/>
      <c r="O25" s="282"/>
      <c r="P25" s="283"/>
      <c r="Q25" s="283"/>
      <c r="R25" s="283"/>
    </row>
  </sheetData>
  <sheetProtection selectLockedCells="1"/>
  <mergeCells count="5">
    <mergeCell ref="O23:R23"/>
    <mergeCell ref="O24:R24"/>
    <mergeCell ref="O25:R25"/>
    <mergeCell ref="J8:J9"/>
    <mergeCell ref="N9:O9"/>
  </mergeCells>
  <phoneticPr fontId="7" type="noConversion"/>
  <printOptions horizontalCentered="1"/>
  <pageMargins left="0.78740157480314965" right="0.78740157480314965" top="0.78740157480314965" bottom="0.78740157480314965" header="0" footer="0"/>
  <pageSetup scale="7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>
    <pageSetUpPr fitToPage="1"/>
  </sheetPr>
  <dimension ref="A1:H43"/>
  <sheetViews>
    <sheetView showGridLines="0" zoomScaleNormal="100" workbookViewId="0">
      <selection activeCell="L37" sqref="L37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1" spans="1:8" ht="18">
      <c r="A1" s="287" t="s">
        <v>44</v>
      </c>
      <c r="B1" s="287"/>
      <c r="C1" s="287"/>
      <c r="D1" s="287"/>
      <c r="E1" s="287"/>
      <c r="F1" s="287"/>
      <c r="G1" s="287"/>
      <c r="H1" s="287"/>
    </row>
    <row r="7" spans="1:8">
      <c r="A7" s="60"/>
    </row>
    <row r="8" spans="1:8" ht="12" customHeight="1">
      <c r="A8" s="60"/>
    </row>
    <row r="9" spans="1:8" ht="12" customHeight="1"/>
    <row r="11" spans="1:8" ht="24.95" customHeight="1">
      <c r="A11" s="67" t="str">
        <f>datos2!A7</f>
        <v>Tuxtla</v>
      </c>
      <c r="B11" s="63"/>
      <c r="H11" s="68" t="e">
        <f>datos2!K7</f>
        <v>#DIV/0!</v>
      </c>
    </row>
    <row r="12" spans="1:8" ht="24.95" customHeight="1">
      <c r="A12" s="67" t="str">
        <f>datos2!A8</f>
        <v>San Cristóbal</v>
      </c>
      <c r="B12" s="63"/>
      <c r="H12" s="68" t="e">
        <f>datos2!K8</f>
        <v>#DIV/0!</v>
      </c>
    </row>
    <row r="13" spans="1:8" ht="24.95" customHeight="1">
      <c r="A13" s="67" t="str">
        <f>datos2!A9</f>
        <v>Villaflores</v>
      </c>
      <c r="B13" s="63"/>
      <c r="H13" s="68" t="e">
        <f>datos2!K9</f>
        <v>#DIV/0!</v>
      </c>
    </row>
    <row r="14" spans="1:8" ht="24.95" customHeight="1">
      <c r="A14" s="67" t="str">
        <f>datos2!A10</f>
        <v>Pichucalco</v>
      </c>
      <c r="B14" s="63"/>
      <c r="H14" s="68" t="e">
        <f>datos2!K10</f>
        <v>#DIV/0!</v>
      </c>
    </row>
    <row r="15" spans="1:8" ht="24.95" customHeight="1">
      <c r="A15" s="67" t="str">
        <f>datos2!A11</f>
        <v>Palenque</v>
      </c>
      <c r="B15" s="63"/>
      <c r="H15" s="68" t="e">
        <f>datos2!K11</f>
        <v>#DIV/0!</v>
      </c>
    </row>
    <row r="16" spans="1:8" ht="24.95" customHeight="1">
      <c r="A16" s="67" t="str">
        <f>datos2!A12</f>
        <v>Tapachula</v>
      </c>
      <c r="B16" s="63"/>
      <c r="H16" s="68" t="e">
        <f>datos2!K12</f>
        <v>#DIV/0!</v>
      </c>
    </row>
    <row r="17" spans="1:8" ht="24.95" customHeight="1">
      <c r="A17" s="67" t="str">
        <f>datos2!A13</f>
        <v>Ocosingo</v>
      </c>
      <c r="B17" s="63"/>
      <c r="H17" s="68" t="e">
        <f>datos2!K13</f>
        <v>#DIV/0!</v>
      </c>
    </row>
    <row r="18" spans="1:8" ht="24.95" customHeight="1">
      <c r="A18" s="67" t="str">
        <f>datos2!A14</f>
        <v>Motozintla</v>
      </c>
      <c r="B18" s="63"/>
      <c r="H18" s="68" t="e">
        <f>datos2!K14</f>
        <v>#DIV/0!</v>
      </c>
    </row>
    <row r="19" spans="1:8" ht="24.95" customHeight="1">
      <c r="A19" s="67" t="str">
        <f>datos2!A15</f>
        <v>Comitán</v>
      </c>
      <c r="B19" s="63"/>
      <c r="H19" s="68" t="e">
        <f>datos2!K15</f>
        <v>#DIV/0!</v>
      </c>
    </row>
    <row r="20" spans="1:8" ht="24.95" customHeight="1">
      <c r="A20" s="67" t="str">
        <f>datos2!A16</f>
        <v>Tonalá</v>
      </c>
      <c r="B20" s="63"/>
      <c r="H20" s="68" t="e">
        <f>datos2!K16</f>
        <v>#DIV/0!</v>
      </c>
    </row>
    <row r="21" spans="1:8" ht="24.95" customHeight="1">
      <c r="A21" s="67" t="str">
        <f>datos2!A17</f>
        <v>Estatal</v>
      </c>
      <c r="B21" s="63"/>
      <c r="H21" s="68" t="e">
        <f>datos2!K17</f>
        <v>#DIV/0!</v>
      </c>
    </row>
    <row r="22" spans="1:8">
      <c r="H22" s="65"/>
    </row>
    <row r="23" spans="1:8">
      <c r="H23" s="65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69" t="str">
        <f>datos2!A7</f>
        <v>Tuxtla</v>
      </c>
      <c r="H32" s="68" t="e">
        <f>datos2!L7</f>
        <v>#DIV/0!</v>
      </c>
    </row>
    <row r="33" spans="1:8" ht="24.95" customHeight="1">
      <c r="A33" s="69" t="str">
        <f>datos2!A8</f>
        <v>San Cristóbal</v>
      </c>
      <c r="H33" s="68" t="e">
        <f>datos2!L8</f>
        <v>#DIV/0!</v>
      </c>
    </row>
    <row r="34" spans="1:8" ht="24.95" customHeight="1">
      <c r="A34" s="69" t="str">
        <f>datos2!A9</f>
        <v>Villaflores</v>
      </c>
      <c r="H34" s="68" t="e">
        <f>datos2!L9</f>
        <v>#DIV/0!</v>
      </c>
    </row>
    <row r="35" spans="1:8" ht="24.95" customHeight="1">
      <c r="A35" s="69" t="str">
        <f>datos2!A10</f>
        <v>Pichucalco</v>
      </c>
      <c r="H35" s="68" t="e">
        <f>datos2!L10</f>
        <v>#DIV/0!</v>
      </c>
    </row>
    <row r="36" spans="1:8" ht="24.95" customHeight="1">
      <c r="A36" s="69" t="str">
        <f>datos2!A11</f>
        <v>Palenque</v>
      </c>
      <c r="H36" s="68" t="e">
        <f>datos2!L11</f>
        <v>#DIV/0!</v>
      </c>
    </row>
    <row r="37" spans="1:8" ht="24.95" customHeight="1">
      <c r="A37" s="69" t="str">
        <f>datos2!A12</f>
        <v>Tapachula</v>
      </c>
      <c r="H37" s="68" t="e">
        <f>datos2!L12</f>
        <v>#DIV/0!</v>
      </c>
    </row>
    <row r="38" spans="1:8" ht="24.95" customHeight="1">
      <c r="A38" s="69" t="str">
        <f>datos2!A13</f>
        <v>Ocosingo</v>
      </c>
      <c r="H38" s="68" t="e">
        <f>datos2!L13</f>
        <v>#DIV/0!</v>
      </c>
    </row>
    <row r="39" spans="1:8" ht="24.95" customHeight="1">
      <c r="A39" s="69" t="str">
        <f>datos2!A14</f>
        <v>Motozintla</v>
      </c>
      <c r="H39" s="68" t="e">
        <f>datos2!L14</f>
        <v>#DIV/0!</v>
      </c>
    </row>
    <row r="40" spans="1:8" ht="24.95" customHeight="1">
      <c r="A40" s="69" t="str">
        <f>datos2!A15</f>
        <v>Comitán</v>
      </c>
      <c r="H40" s="68" t="e">
        <f>datos2!L15</f>
        <v>#DIV/0!</v>
      </c>
    </row>
    <row r="41" spans="1:8" ht="24.95" customHeight="1">
      <c r="A41" s="69" t="str">
        <f>datos2!A16</f>
        <v>Tonalá</v>
      </c>
      <c r="B41" s="95"/>
      <c r="C41" s="95"/>
      <c r="D41" s="95"/>
      <c r="E41" s="95"/>
      <c r="F41" s="95"/>
      <c r="G41" s="95"/>
      <c r="H41" s="68" t="e">
        <f>datos2!L16</f>
        <v>#DIV/0!</v>
      </c>
    </row>
    <row r="42" spans="1:8" ht="24.95" customHeight="1">
      <c r="A42" s="69" t="str">
        <f>datos2!A17</f>
        <v>Estatal</v>
      </c>
      <c r="H42" s="68" t="e">
        <f>datos2!L17</f>
        <v>#DIV/0!</v>
      </c>
    </row>
    <row r="43" spans="1:8" ht="20.100000000000001" customHeight="1"/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4"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>
    <pageSetUpPr fitToPage="1"/>
  </sheetPr>
  <dimension ref="A1:H42"/>
  <sheetViews>
    <sheetView showGridLines="0" zoomScaleNormal="100" workbookViewId="0">
      <selection activeCell="H38" sqref="H38"/>
    </sheetView>
  </sheetViews>
  <sheetFormatPr baseColWidth="10" defaultRowHeight="12.75"/>
  <cols>
    <col min="1" max="1" width="10" customWidth="1"/>
    <col min="7" max="7" width="15.140625" customWidth="1"/>
    <col min="8" max="8" width="9.42578125" style="61" customWidth="1"/>
  </cols>
  <sheetData>
    <row r="1" spans="1:8" ht="18">
      <c r="A1" s="287" t="s">
        <v>44</v>
      </c>
      <c r="B1" s="287"/>
      <c r="C1" s="287"/>
      <c r="D1" s="287"/>
      <c r="E1" s="287"/>
      <c r="F1" s="287"/>
      <c r="G1" s="287"/>
      <c r="H1" s="287"/>
    </row>
    <row r="7" spans="1:8">
      <c r="A7" s="60"/>
    </row>
    <row r="8" spans="1:8" ht="12" customHeight="1">
      <c r="A8" s="60"/>
    </row>
    <row r="9" spans="1:8" ht="12" customHeight="1"/>
    <row r="11" spans="1:8" ht="24.95" customHeight="1">
      <c r="A11" s="67" t="str">
        <f>datos2!A7</f>
        <v>Tuxtla</v>
      </c>
      <c r="B11" s="63"/>
      <c r="H11" s="68">
        <f>datos2!M7</f>
        <v>0</v>
      </c>
    </row>
    <row r="12" spans="1:8" ht="24.95" customHeight="1">
      <c r="A12" s="67" t="str">
        <f>datos2!A8</f>
        <v>San Cristóbal</v>
      </c>
      <c r="B12" s="63"/>
      <c r="H12" s="68" t="e">
        <f>datos2!M8</f>
        <v>#DIV/0!</v>
      </c>
    </row>
    <row r="13" spans="1:8" ht="24.95" customHeight="1">
      <c r="A13" s="67" t="str">
        <f>datos2!A9</f>
        <v>Villaflores</v>
      </c>
      <c r="B13" s="63"/>
      <c r="H13" s="68" t="e">
        <f>datos2!M9</f>
        <v>#DIV/0!</v>
      </c>
    </row>
    <row r="14" spans="1:8" ht="24.95" customHeight="1">
      <c r="A14" s="67" t="str">
        <f>datos2!A10</f>
        <v>Pichucalco</v>
      </c>
      <c r="B14" s="63"/>
      <c r="H14" s="68" t="e">
        <f>datos2!M10</f>
        <v>#DIV/0!</v>
      </c>
    </row>
    <row r="15" spans="1:8" ht="24.95" customHeight="1">
      <c r="A15" s="67" t="str">
        <f>datos2!A11</f>
        <v>Palenque</v>
      </c>
      <c r="B15" s="63"/>
      <c r="H15" s="68" t="e">
        <f>datos2!M11</f>
        <v>#DIV/0!</v>
      </c>
    </row>
    <row r="16" spans="1:8" ht="24.95" customHeight="1">
      <c r="A16" s="67" t="str">
        <f>datos2!A12</f>
        <v>Tapachula</v>
      </c>
      <c r="B16" s="63"/>
      <c r="H16" s="68">
        <f>datos2!M12</f>
        <v>0</v>
      </c>
    </row>
    <row r="17" spans="1:8" ht="24.95" customHeight="1">
      <c r="A17" s="67" t="str">
        <f>datos2!A13</f>
        <v>Ocosingo</v>
      </c>
      <c r="B17" s="63"/>
      <c r="H17" s="68" t="e">
        <f>datos2!M13</f>
        <v>#DIV/0!</v>
      </c>
    </row>
    <row r="18" spans="1:8" ht="24.95" customHeight="1">
      <c r="A18" s="67" t="str">
        <f>datos2!A14</f>
        <v>Motozintla</v>
      </c>
      <c r="B18" s="63"/>
      <c r="H18" s="68" t="e">
        <f>datos2!M14</f>
        <v>#DIV/0!</v>
      </c>
    </row>
    <row r="19" spans="1:8" ht="24.95" customHeight="1">
      <c r="A19" s="67" t="str">
        <f>datos2!A15</f>
        <v>Comitán</v>
      </c>
      <c r="B19" s="63"/>
      <c r="H19" s="68">
        <f>datos2!M15</f>
        <v>6.666666666666667</v>
      </c>
    </row>
    <row r="20" spans="1:8" ht="24.95" customHeight="1">
      <c r="A20" s="67" t="str">
        <f>datos2!A16</f>
        <v>Tonalá</v>
      </c>
      <c r="B20" s="63"/>
      <c r="H20" s="68">
        <f>datos2!M16</f>
        <v>3.3333333333333335</v>
      </c>
    </row>
    <row r="21" spans="1:8" ht="24.95" customHeight="1">
      <c r="A21" s="67" t="str">
        <f>datos2!A17</f>
        <v>Estatal</v>
      </c>
      <c r="B21" s="63"/>
      <c r="H21" s="68" t="e">
        <f>datos2!M17</f>
        <v>#DIV/0!</v>
      </c>
    </row>
    <row r="22" spans="1:8">
      <c r="H22" s="65"/>
    </row>
    <row r="23" spans="1:8">
      <c r="H23" s="65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67" t="str">
        <f>datos2!A7</f>
        <v>Tuxtla</v>
      </c>
      <c r="H32" s="68">
        <f>datos2!N7</f>
        <v>0</v>
      </c>
    </row>
    <row r="33" spans="1:8" ht="24.95" customHeight="1">
      <c r="A33" s="67" t="str">
        <f>datos2!A8</f>
        <v>San Cristóbal</v>
      </c>
      <c r="H33" s="68" t="e">
        <f>datos2!N8</f>
        <v>#DIV/0!</v>
      </c>
    </row>
    <row r="34" spans="1:8" ht="24.95" customHeight="1">
      <c r="A34" s="67" t="str">
        <f>datos2!A9</f>
        <v>Villaflores</v>
      </c>
      <c r="H34" s="68" t="e">
        <f>datos2!N9</f>
        <v>#DIV/0!</v>
      </c>
    </row>
    <row r="35" spans="1:8" ht="24.95" customHeight="1">
      <c r="A35" s="67" t="str">
        <f>datos2!A10</f>
        <v>Pichucalco</v>
      </c>
      <c r="H35" s="68" t="e">
        <f>datos2!N10</f>
        <v>#DIV/0!</v>
      </c>
    </row>
    <row r="36" spans="1:8" ht="24.95" customHeight="1">
      <c r="A36" s="67" t="str">
        <f>datos2!A11</f>
        <v>Palenque</v>
      </c>
      <c r="H36" s="68" t="e">
        <f>datos2!N11</f>
        <v>#DIV/0!</v>
      </c>
    </row>
    <row r="37" spans="1:8" ht="24.95" customHeight="1">
      <c r="A37" s="67" t="str">
        <f>datos2!A12</f>
        <v>Tapachula</v>
      </c>
      <c r="H37" s="68">
        <f>datos2!N12</f>
        <v>0</v>
      </c>
    </row>
    <row r="38" spans="1:8" ht="24.95" customHeight="1">
      <c r="A38" s="67" t="str">
        <f>datos2!A13</f>
        <v>Ocosingo</v>
      </c>
      <c r="H38" s="68" t="e">
        <f>datos2!N13</f>
        <v>#DIV/0!</v>
      </c>
    </row>
    <row r="39" spans="1:8" ht="24.95" customHeight="1">
      <c r="A39" s="67" t="str">
        <f>datos2!A14</f>
        <v>Motozintla</v>
      </c>
      <c r="H39" s="68" t="e">
        <f>datos2!N14</f>
        <v>#DIV/0!</v>
      </c>
    </row>
    <row r="40" spans="1:8" ht="24.95" customHeight="1">
      <c r="A40" s="67" t="str">
        <f>datos2!A15</f>
        <v>Comitán</v>
      </c>
      <c r="H40" s="68">
        <f>datos2!N15</f>
        <v>-0.92592592592592615</v>
      </c>
    </row>
    <row r="41" spans="1:8" ht="24.95" customHeight="1">
      <c r="A41" s="67" t="str">
        <f>datos2!A16</f>
        <v>Tonalá</v>
      </c>
      <c r="B41" s="95"/>
      <c r="C41" s="95"/>
      <c r="D41" s="95"/>
      <c r="E41" s="95"/>
      <c r="F41" s="95"/>
      <c r="G41" s="95"/>
      <c r="H41" s="68">
        <f>datos2!N16</f>
        <v>-2.3580586080586077</v>
      </c>
    </row>
    <row r="42" spans="1:8" ht="24.95" customHeight="1">
      <c r="A42" s="67" t="str">
        <f>datos2!A17</f>
        <v>Estatal</v>
      </c>
      <c r="H42" s="68" t="e">
        <f>datos2!N17</f>
        <v>#DIV/0!</v>
      </c>
    </row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5" orientation="portrait" verticalDpi="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5"/>
  <dimension ref="A7:G46"/>
  <sheetViews>
    <sheetView showGridLines="0" zoomScaleNormal="100" workbookViewId="0">
      <selection activeCell="L28" sqref="L28"/>
    </sheetView>
  </sheetViews>
  <sheetFormatPr baseColWidth="10" defaultRowHeight="12.75"/>
  <sheetData>
    <row r="7" spans="1:7" ht="15.75">
      <c r="B7" s="91" t="s">
        <v>57</v>
      </c>
    </row>
    <row r="8" spans="1:7">
      <c r="A8" t="s">
        <v>58</v>
      </c>
    </row>
    <row r="9" spans="1:7">
      <c r="B9" s="289"/>
      <c r="C9" s="289"/>
      <c r="D9" s="289"/>
      <c r="E9" s="289"/>
      <c r="F9" s="289"/>
      <c r="G9" s="289"/>
    </row>
    <row r="12" spans="1:7">
      <c r="B12" s="59"/>
    </row>
    <row r="27" spans="1:7">
      <c r="A27" s="90"/>
      <c r="B27" s="90"/>
      <c r="C27" s="90"/>
      <c r="D27" s="90"/>
      <c r="E27" s="289"/>
      <c r="F27" s="289"/>
      <c r="G27" s="289"/>
    </row>
    <row r="31" spans="1:7" ht="15.75">
      <c r="C31" s="291" t="s">
        <v>33</v>
      </c>
      <c r="D31" s="291"/>
      <c r="E31" s="291"/>
    </row>
    <row r="32" spans="1:7">
      <c r="C32" s="292"/>
      <c r="D32" s="292"/>
      <c r="E32" s="292"/>
    </row>
    <row r="33" spans="1:7">
      <c r="C33" s="205" t="s">
        <v>92</v>
      </c>
      <c r="D33" s="205"/>
      <c r="E33" s="205"/>
    </row>
    <row r="34" spans="1:7">
      <c r="C34" s="204" t="s">
        <v>88</v>
      </c>
      <c r="D34" s="204"/>
      <c r="E34" s="204"/>
    </row>
    <row r="35" spans="1:7">
      <c r="C35" s="203" t="s">
        <v>89</v>
      </c>
      <c r="D35" s="203"/>
      <c r="E35" s="203"/>
    </row>
    <row r="36" spans="1:7">
      <c r="C36" s="203" t="s">
        <v>90</v>
      </c>
      <c r="D36" s="203"/>
      <c r="E36" s="203"/>
    </row>
    <row r="37" spans="1:7">
      <c r="C37" s="203" t="s">
        <v>91</v>
      </c>
      <c r="D37" s="203"/>
      <c r="E37" s="203"/>
    </row>
    <row r="39" spans="1:7" ht="20.25">
      <c r="A39" s="290" t="s">
        <v>86</v>
      </c>
      <c r="B39" s="290"/>
      <c r="C39" s="290"/>
      <c r="D39" s="290"/>
      <c r="E39" s="290"/>
      <c r="F39" s="290"/>
      <c r="G39" s="290"/>
    </row>
    <row r="40" spans="1:7" ht="15.75">
      <c r="A40" s="288" t="s">
        <v>87</v>
      </c>
      <c r="B40" s="288"/>
      <c r="C40" s="288"/>
      <c r="D40" s="288"/>
      <c r="E40" s="288"/>
      <c r="F40" s="288"/>
      <c r="G40" s="288"/>
    </row>
    <row r="41" spans="1:7" ht="10.5" customHeight="1"/>
    <row r="46" spans="1:7" ht="8.25" customHeight="1"/>
  </sheetData>
  <mergeCells count="6">
    <mergeCell ref="A40:G40"/>
    <mergeCell ref="E27:G27"/>
    <mergeCell ref="B9:G9"/>
    <mergeCell ref="A39:G39"/>
    <mergeCell ref="C31:E31"/>
    <mergeCell ref="C32:E32"/>
  </mergeCells>
  <phoneticPr fontId="7" type="noConversion"/>
  <pageMargins left="0.78740157480314965" right="0.78740157480314965" top="0.98425196850393704" bottom="0.98425196850393704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CAPTURA</vt:lpstr>
      <vt:lpstr>CONCENTRADO</vt:lpstr>
      <vt:lpstr>LEPRA</vt:lpstr>
      <vt:lpstr>datos1</vt:lpstr>
      <vt:lpstr>datos2</vt:lpstr>
      <vt:lpstr>datos3</vt:lpstr>
      <vt:lpstr>Portada</vt:lpstr>
      <vt:lpstr>Global</vt:lpstr>
      <vt:lpstr>Desglo2</vt:lpstr>
      <vt:lpstr>Desglo3</vt:lpstr>
      <vt:lpstr>Comparativo</vt:lpstr>
      <vt:lpstr>Vel2</vt:lpstr>
      <vt:lpstr>Vel3</vt:lpstr>
      <vt:lpstr>Contra</vt:lpstr>
      <vt:lpstr>Comparativo!Print_Area</vt:lpstr>
      <vt:lpstr>LEPRA!Print_Area</vt:lpstr>
      <vt:lpstr>Portada!Print_Area</vt:lpstr>
    </vt:vector>
  </TitlesOfParts>
  <Company>ISECH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Caminando a la Excelencia (CaCu)</dc:title>
  <dc:creator>Lic. Saúl E. Buenrostro Chávez</dc:creator>
  <cp:lastModifiedBy>Usuario de Windows</cp:lastModifiedBy>
  <cp:lastPrinted>2013-06-27T02:38:38Z</cp:lastPrinted>
  <dcterms:created xsi:type="dcterms:W3CDTF">2002-12-06T18:26:33Z</dcterms:created>
  <dcterms:modified xsi:type="dcterms:W3CDTF">2013-09-08T00:43:51Z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9f56c2fa-d0c9-4cf1-bed3-69d6ebbe3051</vt:lpwstr>
  </property>
</Properties>
</file>