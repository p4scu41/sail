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20" yWindow="75" windowWidth="12120" windowHeight="7455" tabRatio="602"/>
  </bookViews>
  <sheets>
    <sheet name="CAPTURA" sheetId="29" r:id="rId1"/>
    <sheet name="CONCENTRADO" sheetId="30" r:id="rId2"/>
    <sheet name="LEPRA" sheetId="9" r:id="rId3"/>
    <sheet name="datos1" sheetId="14" r:id="rId4"/>
    <sheet name="datos2" sheetId="13" r:id="rId5"/>
    <sheet name="datos3" sheetId="24" r:id="rId6"/>
    <sheet name="Portada" sheetId="15" r:id="rId7"/>
    <sheet name="Global" sheetId="16" r:id="rId8"/>
    <sheet name="Desglo2" sheetId="18" r:id="rId9"/>
    <sheet name="Desglo3" sheetId="19" r:id="rId10"/>
    <sheet name="Comparativo" sheetId="20" r:id="rId11"/>
    <sheet name="Vel2" sheetId="22" r:id="rId12"/>
    <sheet name="Vel3" sheetId="23" r:id="rId13"/>
    <sheet name="Contra" sheetId="26" r:id="rId14"/>
  </sheets>
  <definedNames>
    <definedName name="_xlnm.Print_Area" localSheetId="10">Comparativo!$A$1:$R$25</definedName>
    <definedName name="_xlnm.Print_Area" localSheetId="2">LEPRA!$A$1:$AQ$14</definedName>
    <definedName name="_xlnm.Print_Area" localSheetId="6">Portada!$A$1:$I$49</definedName>
  </definedNames>
  <calcPr calcId="145621"/>
</workbook>
</file>

<file path=xl/calcChain.xml><?xml version="1.0" encoding="utf-8"?>
<calcChain xmlns="http://schemas.openxmlformats.org/spreadsheetml/2006/main">
  <c r="N4" i="9" l="1"/>
  <c r="N5" i="9"/>
  <c r="AN5" i="9" s="1"/>
  <c r="L6" i="9"/>
  <c r="AL6" i="9" s="1"/>
  <c r="N8" i="9"/>
  <c r="U8" i="9" s="1"/>
  <c r="AB8" i="9" s="1"/>
  <c r="N9" i="9"/>
  <c r="L10" i="9"/>
  <c r="AL10" i="9" s="1"/>
  <c r="N12" i="9"/>
  <c r="AN12" i="9" s="1"/>
  <c r="N13" i="9"/>
  <c r="AN13" i="9" s="1"/>
  <c r="K5" i="9"/>
  <c r="AK5" i="9" s="1"/>
  <c r="K8" i="9"/>
  <c r="K9" i="9"/>
  <c r="AK9" i="9" s="1"/>
  <c r="K12" i="9"/>
  <c r="K13" i="9"/>
  <c r="R13" i="9" s="1"/>
  <c r="Y13" i="9" s="1"/>
  <c r="K28" i="9" s="1"/>
  <c r="E4" i="9"/>
  <c r="AH4" i="9" s="1"/>
  <c r="D6" i="9"/>
  <c r="AG6" i="9" s="1"/>
  <c r="E7" i="9"/>
  <c r="AH7" i="9" s="1"/>
  <c r="F8" i="9"/>
  <c r="AI8" i="9" s="1"/>
  <c r="D10" i="9"/>
  <c r="AG10" i="9" s="1"/>
  <c r="E11" i="9"/>
  <c r="AH11" i="9" s="1"/>
  <c r="F12" i="9"/>
  <c r="AI12" i="9" s="1"/>
  <c r="C5" i="9"/>
  <c r="AF5" i="9" s="1"/>
  <c r="C8" i="9"/>
  <c r="R8" i="9" s="1"/>
  <c r="Y8" i="9" s="1"/>
  <c r="K23" i="9" s="1"/>
  <c r="C9" i="9"/>
  <c r="AF9" i="9" s="1"/>
  <c r="C12" i="9"/>
  <c r="R12" i="9" s="1"/>
  <c r="C13" i="9"/>
  <c r="AF13" i="9" s="1"/>
  <c r="F5" i="30"/>
  <c r="G5" i="30"/>
  <c r="L5" i="9" s="1"/>
  <c r="L14" i="9" s="1"/>
  <c r="AL14" i="9" s="1"/>
  <c r="H5" i="30"/>
  <c r="M5" i="9" s="1"/>
  <c r="I5" i="30"/>
  <c r="F6" i="30"/>
  <c r="K6" i="9" s="1"/>
  <c r="R6" i="9" s="1"/>
  <c r="Y6" i="9" s="1"/>
  <c r="G6" i="30"/>
  <c r="H6" i="30"/>
  <c r="M6" i="9" s="1"/>
  <c r="AM6" i="9" s="1"/>
  <c r="I6" i="30"/>
  <c r="N6" i="9" s="1"/>
  <c r="F7" i="30"/>
  <c r="K7" i="9" s="1"/>
  <c r="AK7" i="9" s="1"/>
  <c r="G7" i="30"/>
  <c r="L7" i="9" s="1"/>
  <c r="AL7" i="9" s="1"/>
  <c r="H7" i="30"/>
  <c r="M7" i="9" s="1"/>
  <c r="I7" i="30"/>
  <c r="N7" i="9" s="1"/>
  <c r="F8" i="30"/>
  <c r="G8" i="30"/>
  <c r="L8" i="9" s="1"/>
  <c r="H8" i="30"/>
  <c r="M8" i="9" s="1"/>
  <c r="AM8" i="9" s="1"/>
  <c r="I8" i="30"/>
  <c r="F9" i="30"/>
  <c r="G9" i="30"/>
  <c r="L9" i="9" s="1"/>
  <c r="AL9" i="9" s="1"/>
  <c r="H9" i="30"/>
  <c r="M9" i="9" s="1"/>
  <c r="I9" i="30"/>
  <c r="F10" i="30"/>
  <c r="K10" i="9" s="1"/>
  <c r="R10" i="9" s="1"/>
  <c r="Y10" i="9" s="1"/>
  <c r="G10" i="30"/>
  <c r="H10" i="30"/>
  <c r="M10" i="9" s="1"/>
  <c r="AM10" i="9" s="1"/>
  <c r="I10" i="30"/>
  <c r="N10" i="9" s="1"/>
  <c r="F11" i="30"/>
  <c r="K11" i="9" s="1"/>
  <c r="AK11" i="9" s="1"/>
  <c r="G11" i="30"/>
  <c r="L11" i="9" s="1"/>
  <c r="AL11" i="9" s="1"/>
  <c r="H11" i="30"/>
  <c r="M11" i="9" s="1"/>
  <c r="I11" i="30"/>
  <c r="N11" i="9" s="1"/>
  <c r="F12" i="30"/>
  <c r="G12" i="30"/>
  <c r="L12" i="9" s="1"/>
  <c r="H12" i="30"/>
  <c r="M12" i="9" s="1"/>
  <c r="AM12" i="9" s="1"/>
  <c r="I12" i="30"/>
  <c r="F13" i="30"/>
  <c r="G13" i="30"/>
  <c r="L13" i="9" s="1"/>
  <c r="AL13" i="9" s="1"/>
  <c r="H13" i="30"/>
  <c r="M13" i="9" s="1"/>
  <c r="I13" i="30"/>
  <c r="F14" i="30"/>
  <c r="G14" i="30"/>
  <c r="H14" i="30"/>
  <c r="I14" i="30"/>
  <c r="I4" i="30"/>
  <c r="H4" i="30"/>
  <c r="M4" i="9" s="1"/>
  <c r="G4" i="30"/>
  <c r="L4" i="9" s="1"/>
  <c r="F4" i="30"/>
  <c r="K4" i="9" s="1"/>
  <c r="C5" i="30"/>
  <c r="D5" i="9" s="1"/>
  <c r="AG5" i="9" s="1"/>
  <c r="D5" i="30"/>
  <c r="E5" i="9" s="1"/>
  <c r="AH5" i="9" s="1"/>
  <c r="E5" i="30"/>
  <c r="F5" i="9" s="1"/>
  <c r="C6" i="30"/>
  <c r="D6" i="30"/>
  <c r="E6" i="9" s="1"/>
  <c r="E6" i="30"/>
  <c r="F6" i="9" s="1"/>
  <c r="AI6" i="9" s="1"/>
  <c r="C7" i="30"/>
  <c r="D7" i="9" s="1"/>
  <c r="D7" i="30"/>
  <c r="E7" i="30"/>
  <c r="F7" i="9" s="1"/>
  <c r="AI7" i="9" s="1"/>
  <c r="C8" i="30"/>
  <c r="D8" i="9" s="1"/>
  <c r="AG8" i="9" s="1"/>
  <c r="D8" i="30"/>
  <c r="E8" i="9" s="1"/>
  <c r="E8" i="30"/>
  <c r="C9" i="30"/>
  <c r="D9" i="9" s="1"/>
  <c r="AG9" i="9" s="1"/>
  <c r="D9" i="30"/>
  <c r="E9" i="9" s="1"/>
  <c r="AH9" i="9" s="1"/>
  <c r="E9" i="30"/>
  <c r="F9" i="9" s="1"/>
  <c r="C10" i="30"/>
  <c r="D10" i="30"/>
  <c r="E10" i="9" s="1"/>
  <c r="E10" i="30"/>
  <c r="F10" i="9" s="1"/>
  <c r="AI10" i="9" s="1"/>
  <c r="C11" i="30"/>
  <c r="D11" i="9" s="1"/>
  <c r="AG11" i="9" s="1"/>
  <c r="D11" i="30"/>
  <c r="E11" i="30"/>
  <c r="F11" i="9" s="1"/>
  <c r="AI11" i="9" s="1"/>
  <c r="C12" i="30"/>
  <c r="D12" i="9" s="1"/>
  <c r="AG12" i="9" s="1"/>
  <c r="D12" i="30"/>
  <c r="E12" i="9" s="1"/>
  <c r="E12" i="30"/>
  <c r="C13" i="30"/>
  <c r="D13" i="9" s="1"/>
  <c r="AG13" i="9" s="1"/>
  <c r="D13" i="30"/>
  <c r="E13" i="9" s="1"/>
  <c r="AH13" i="9" s="1"/>
  <c r="E13" i="30"/>
  <c r="F13" i="9" s="1"/>
  <c r="AI13" i="9" s="1"/>
  <c r="C14" i="30"/>
  <c r="D14" i="30"/>
  <c r="E14" i="30"/>
  <c r="E4" i="30"/>
  <c r="F4" i="9" s="1"/>
  <c r="D4" i="30"/>
  <c r="C4" i="30"/>
  <c r="D4" i="9" s="1"/>
  <c r="B5" i="30"/>
  <c r="B6" i="30"/>
  <c r="C6" i="9" s="1"/>
  <c r="AF6" i="9" s="1"/>
  <c r="B7" i="30"/>
  <c r="C7" i="9" s="1"/>
  <c r="B8" i="30"/>
  <c r="B9" i="30"/>
  <c r="B10" i="30"/>
  <c r="C10" i="9" s="1"/>
  <c r="AF10" i="9" s="1"/>
  <c r="B11" i="30"/>
  <c r="C11" i="9" s="1"/>
  <c r="B12" i="30"/>
  <c r="B13" i="30"/>
  <c r="B14" i="30"/>
  <c r="B4" i="30"/>
  <c r="C4" i="9" s="1"/>
  <c r="AF4" i="9" s="1"/>
  <c r="H9" i="16"/>
  <c r="H10" i="16"/>
  <c r="H11" i="16"/>
  <c r="H12" i="16"/>
  <c r="H13" i="16"/>
  <c r="H14" i="16"/>
  <c r="H15" i="16"/>
  <c r="H16" i="16"/>
  <c r="H17" i="16"/>
  <c r="H18" i="16"/>
  <c r="H8" i="16"/>
  <c r="H38" i="15"/>
  <c r="I38" i="15" s="1"/>
  <c r="H37" i="15"/>
  <c r="I37" i="15" s="1"/>
  <c r="H36" i="15"/>
  <c r="I36" i="15" s="1"/>
  <c r="H35" i="15"/>
  <c r="I35" i="15" s="1"/>
  <c r="H34" i="15"/>
  <c r="I34" i="15" s="1"/>
  <c r="H33" i="15"/>
  <c r="I33" i="15" s="1"/>
  <c r="H32" i="15"/>
  <c r="I32" i="15" s="1"/>
  <c r="H31" i="15"/>
  <c r="I31" i="15" s="1"/>
  <c r="H30" i="15"/>
  <c r="I30" i="15" s="1"/>
  <c r="H29" i="15"/>
  <c r="I29" i="15" s="1"/>
  <c r="H28" i="15"/>
  <c r="I28" i="15" s="1"/>
  <c r="E28" i="15"/>
  <c r="F28" i="15"/>
  <c r="G28" i="15"/>
  <c r="E29" i="15"/>
  <c r="F29" i="15"/>
  <c r="G29" i="15"/>
  <c r="E30" i="15"/>
  <c r="F30" i="15"/>
  <c r="G30" i="15"/>
  <c r="E31" i="15"/>
  <c r="F31" i="15"/>
  <c r="G31" i="15"/>
  <c r="E32" i="15"/>
  <c r="F32" i="15"/>
  <c r="G32" i="15"/>
  <c r="E33" i="15"/>
  <c r="F33" i="15"/>
  <c r="G33" i="15"/>
  <c r="E34" i="15"/>
  <c r="F34" i="15"/>
  <c r="G34" i="15"/>
  <c r="E35" i="15"/>
  <c r="F35" i="15"/>
  <c r="G35" i="15"/>
  <c r="E36" i="15"/>
  <c r="F36" i="15"/>
  <c r="G36" i="15"/>
  <c r="E37" i="15"/>
  <c r="F37" i="15"/>
  <c r="G37" i="15"/>
  <c r="E38" i="15"/>
  <c r="F38" i="15"/>
  <c r="G38" i="15"/>
  <c r="D28" i="15"/>
  <c r="D29" i="15"/>
  <c r="D30" i="15"/>
  <c r="D31" i="15"/>
  <c r="D32" i="15"/>
  <c r="D33" i="15"/>
  <c r="D34" i="15"/>
  <c r="D35" i="15"/>
  <c r="D36" i="15"/>
  <c r="D37" i="15"/>
  <c r="D38" i="15"/>
  <c r="C38" i="15"/>
  <c r="C37" i="15"/>
  <c r="C36" i="15"/>
  <c r="C35" i="15"/>
  <c r="C34" i="15"/>
  <c r="C33" i="15"/>
  <c r="C32" i="15"/>
  <c r="C31" i="15"/>
  <c r="C30" i="15"/>
  <c r="C29" i="15"/>
  <c r="C28" i="15"/>
  <c r="AK8" i="9"/>
  <c r="AN9" i="9"/>
  <c r="AK12" i="9"/>
  <c r="AK13" i="9"/>
  <c r="AN4" i="9"/>
  <c r="A41" i="23"/>
  <c r="H33" i="23"/>
  <c r="H34" i="23"/>
  <c r="H35" i="23"/>
  <c r="H36" i="23"/>
  <c r="H37" i="23"/>
  <c r="H38" i="23"/>
  <c r="H39" i="23"/>
  <c r="H40" i="23"/>
  <c r="H41" i="23"/>
  <c r="H42" i="23"/>
  <c r="H32" i="23"/>
  <c r="H12" i="23"/>
  <c r="H13" i="23"/>
  <c r="H14" i="23"/>
  <c r="H15" i="23"/>
  <c r="H16" i="23"/>
  <c r="H17" i="23"/>
  <c r="H18" i="23"/>
  <c r="H19" i="23"/>
  <c r="H20" i="23"/>
  <c r="H21" i="23"/>
  <c r="H11" i="23"/>
  <c r="A41" i="22"/>
  <c r="H33" i="22"/>
  <c r="H34" i="22"/>
  <c r="H35" i="22"/>
  <c r="H36" i="22"/>
  <c r="H37" i="22"/>
  <c r="H38" i="22"/>
  <c r="H39" i="22"/>
  <c r="H40" i="22"/>
  <c r="H41" i="22"/>
  <c r="H42" i="22"/>
  <c r="H32" i="22"/>
  <c r="H12" i="22"/>
  <c r="H13" i="22"/>
  <c r="H14" i="22"/>
  <c r="H15" i="22"/>
  <c r="H16" i="22"/>
  <c r="H17" i="22"/>
  <c r="H18" i="22"/>
  <c r="H19" i="22"/>
  <c r="H20" i="22"/>
  <c r="H21" i="22"/>
  <c r="H11" i="22"/>
  <c r="C11" i="20"/>
  <c r="B11" i="20"/>
  <c r="H31" i="19"/>
  <c r="H32" i="19"/>
  <c r="H33" i="19"/>
  <c r="H34" i="19"/>
  <c r="H35" i="19"/>
  <c r="H36" i="19"/>
  <c r="H37" i="19"/>
  <c r="H38" i="19"/>
  <c r="H39" i="19"/>
  <c r="H40" i="19"/>
  <c r="H30" i="19"/>
  <c r="H8" i="19"/>
  <c r="H9" i="19"/>
  <c r="H10" i="19"/>
  <c r="H11" i="19"/>
  <c r="H12" i="19"/>
  <c r="H13" i="19"/>
  <c r="H14" i="19"/>
  <c r="H15" i="19"/>
  <c r="H16" i="19"/>
  <c r="H17" i="19"/>
  <c r="H7" i="19"/>
  <c r="H31" i="18"/>
  <c r="H32" i="18"/>
  <c r="H33" i="18"/>
  <c r="H34" i="18"/>
  <c r="H35" i="18"/>
  <c r="H36" i="18"/>
  <c r="H37" i="18"/>
  <c r="H38" i="18"/>
  <c r="H39" i="18"/>
  <c r="H40" i="18"/>
  <c r="H30" i="18"/>
  <c r="H8" i="18"/>
  <c r="H9" i="18"/>
  <c r="H10" i="18"/>
  <c r="H11" i="18"/>
  <c r="H12" i="18"/>
  <c r="H13" i="18"/>
  <c r="H14" i="18"/>
  <c r="H15" i="18"/>
  <c r="H16" i="18"/>
  <c r="H17" i="18"/>
  <c r="H7" i="18"/>
  <c r="D18" i="9"/>
  <c r="C18" i="9"/>
  <c r="O15" i="9"/>
  <c r="G15" i="9"/>
  <c r="N11" i="20"/>
  <c r="O11" i="20"/>
  <c r="P11" i="20"/>
  <c r="Q11" i="20"/>
  <c r="R11" i="20"/>
  <c r="N12" i="20"/>
  <c r="O12" i="20"/>
  <c r="P12" i="20"/>
  <c r="Q12" i="20"/>
  <c r="R12" i="20"/>
  <c r="N13" i="20"/>
  <c r="O13" i="20"/>
  <c r="P13" i="20"/>
  <c r="Q13" i="20"/>
  <c r="R13" i="20"/>
  <c r="N14" i="20"/>
  <c r="O14" i="20"/>
  <c r="P14" i="20"/>
  <c r="Q14" i="20"/>
  <c r="R14" i="20"/>
  <c r="N15" i="20"/>
  <c r="O15" i="20"/>
  <c r="P15" i="20"/>
  <c r="Q15" i="20"/>
  <c r="R15" i="20"/>
  <c r="N16" i="20"/>
  <c r="O16" i="20"/>
  <c r="P16" i="20"/>
  <c r="Q16" i="20"/>
  <c r="R16" i="20"/>
  <c r="N17" i="20"/>
  <c r="O17" i="20"/>
  <c r="P17" i="20"/>
  <c r="Q17" i="20"/>
  <c r="R17" i="20"/>
  <c r="N18" i="20"/>
  <c r="O18" i="20"/>
  <c r="P18" i="20"/>
  <c r="Q18" i="20"/>
  <c r="R18" i="20"/>
  <c r="N19" i="20"/>
  <c r="O19" i="20"/>
  <c r="P19" i="20"/>
  <c r="Q19" i="20"/>
  <c r="R19" i="20"/>
  <c r="N20" i="20"/>
  <c r="O20" i="20"/>
  <c r="P20" i="20"/>
  <c r="Q20" i="20"/>
  <c r="R20" i="20"/>
  <c r="N21" i="20"/>
  <c r="O21" i="20"/>
  <c r="P21" i="20"/>
  <c r="Q21" i="20"/>
  <c r="R21" i="20"/>
  <c r="L11" i="20"/>
  <c r="C10" i="20"/>
  <c r="P9" i="20" s="1"/>
  <c r="C12" i="20"/>
  <c r="C13" i="20"/>
  <c r="C14" i="20"/>
  <c r="C15" i="20"/>
  <c r="C16" i="20"/>
  <c r="C17" i="20"/>
  <c r="C18" i="20"/>
  <c r="C19" i="20"/>
  <c r="C20" i="20"/>
  <c r="C21" i="20"/>
  <c r="B12" i="20"/>
  <c r="B13" i="20"/>
  <c r="B14" i="20"/>
  <c r="B15" i="20"/>
  <c r="B16" i="20"/>
  <c r="B17" i="20"/>
  <c r="B18" i="20"/>
  <c r="B19" i="20"/>
  <c r="B20" i="20"/>
  <c r="B21" i="20"/>
  <c r="B10" i="20"/>
  <c r="R9" i="20" s="1"/>
  <c r="A12" i="20"/>
  <c r="K12" i="20" s="1"/>
  <c r="A13" i="20"/>
  <c r="A14" i="20"/>
  <c r="K14" i="20" s="1"/>
  <c r="A15" i="20"/>
  <c r="K15" i="20" s="1"/>
  <c r="A16" i="20"/>
  <c r="K16" i="20" s="1"/>
  <c r="A17" i="20"/>
  <c r="K17" i="20" s="1"/>
  <c r="A18" i="20"/>
  <c r="K18" i="20" s="1"/>
  <c r="A19" i="20"/>
  <c r="K19" i="20" s="1"/>
  <c r="A20" i="20"/>
  <c r="K20" i="20" s="1"/>
  <c r="A21" i="20"/>
  <c r="K21" i="20" s="1"/>
  <c r="A11" i="20"/>
  <c r="K11" i="20" s="1"/>
  <c r="A10" i="20"/>
  <c r="S6" i="9"/>
  <c r="Z6" i="9" s="1"/>
  <c r="L21" i="9" s="1"/>
  <c r="R9" i="9"/>
  <c r="Y9" i="9" s="1"/>
  <c r="K24" i="9" s="1"/>
  <c r="A42" i="23"/>
  <c r="A40" i="23"/>
  <c r="A39" i="23"/>
  <c r="A38" i="23"/>
  <c r="A37" i="23"/>
  <c r="A36" i="23"/>
  <c r="A35" i="23"/>
  <c r="A34" i="23"/>
  <c r="A33" i="23"/>
  <c r="A32" i="23"/>
  <c r="A21" i="23"/>
  <c r="A20" i="23"/>
  <c r="A19" i="23"/>
  <c r="A18" i="23"/>
  <c r="A17" i="23"/>
  <c r="A16" i="23"/>
  <c r="A15" i="23"/>
  <c r="A14" i="23"/>
  <c r="A13" i="23"/>
  <c r="A12" i="23"/>
  <c r="A11" i="23"/>
  <c r="A42" i="22"/>
  <c r="A40" i="22"/>
  <c r="A39" i="22"/>
  <c r="A38" i="22"/>
  <c r="A37" i="22"/>
  <c r="A36" i="22"/>
  <c r="A35" i="22"/>
  <c r="A34" i="22"/>
  <c r="A33" i="22"/>
  <c r="A32" i="22"/>
  <c r="A21" i="22"/>
  <c r="A20" i="22"/>
  <c r="A19" i="22"/>
  <c r="A18" i="22"/>
  <c r="A17" i="22"/>
  <c r="A16" i="22"/>
  <c r="A15" i="22"/>
  <c r="A14" i="22"/>
  <c r="A13" i="22"/>
  <c r="A12" i="22"/>
  <c r="A11" i="22"/>
  <c r="L12" i="20"/>
  <c r="L13" i="20"/>
  <c r="L14" i="20"/>
  <c r="L15" i="20"/>
  <c r="L16" i="20"/>
  <c r="L17" i="20"/>
  <c r="L18" i="20"/>
  <c r="L19" i="20"/>
  <c r="L20" i="20"/>
  <c r="L21" i="20"/>
  <c r="B29" i="15"/>
  <c r="B30" i="15"/>
  <c r="B31" i="15"/>
  <c r="B32" i="15"/>
  <c r="B33" i="15"/>
  <c r="B34" i="15"/>
  <c r="B35" i="15"/>
  <c r="B36" i="15"/>
  <c r="B37" i="15"/>
  <c r="B38" i="15"/>
  <c r="B28" i="15"/>
  <c r="K13" i="20"/>
  <c r="M18" i="9"/>
  <c r="I18" i="9"/>
  <c r="H18" i="9"/>
  <c r="N18" i="9"/>
  <c r="L18" i="9"/>
  <c r="K18" i="9"/>
  <c r="J18" i="9"/>
  <c r="G18" i="9"/>
  <c r="F18" i="9"/>
  <c r="E18" i="9"/>
  <c r="A29" i="9"/>
  <c r="A20" i="9"/>
  <c r="A21" i="9"/>
  <c r="A22" i="9"/>
  <c r="A23" i="9"/>
  <c r="A24" i="9"/>
  <c r="A25" i="9"/>
  <c r="A26" i="9"/>
  <c r="A27" i="9"/>
  <c r="A28" i="9"/>
  <c r="A19" i="9"/>
  <c r="A18" i="9"/>
  <c r="T4" i="9" l="1"/>
  <c r="H19" i="9" s="1"/>
  <c r="M14" i="9"/>
  <c r="AM14" i="9" s="1"/>
  <c r="AG4" i="9"/>
  <c r="D14" i="9"/>
  <c r="AG14" i="9" s="1"/>
  <c r="T10" i="9"/>
  <c r="AA10" i="9" s="1"/>
  <c r="M25" i="9" s="1"/>
  <c r="AH10" i="9"/>
  <c r="T6" i="9"/>
  <c r="H21" i="9" s="1"/>
  <c r="AH6" i="9"/>
  <c r="F14" i="9"/>
  <c r="AI14" i="9" s="1"/>
  <c r="AI4" i="9"/>
  <c r="T12" i="9"/>
  <c r="AA12" i="9" s="1"/>
  <c r="M27" i="9" s="1"/>
  <c r="AH12" i="9"/>
  <c r="AI9" i="9"/>
  <c r="U9" i="9"/>
  <c r="AB9" i="9" s="1"/>
  <c r="N24" i="9" s="1"/>
  <c r="T8" i="9"/>
  <c r="H23" i="9" s="1"/>
  <c r="AH8" i="9"/>
  <c r="S7" i="9"/>
  <c r="AI5" i="9"/>
  <c r="U5" i="9"/>
  <c r="AB5" i="9" s="1"/>
  <c r="N20" i="9" s="1"/>
  <c r="AL4" i="9"/>
  <c r="S4" i="9"/>
  <c r="Z4" i="9" s="1"/>
  <c r="AM13" i="9"/>
  <c r="T13" i="9"/>
  <c r="AA13" i="9" s="1"/>
  <c r="M28" i="9" s="1"/>
  <c r="T11" i="9"/>
  <c r="AA11" i="9" s="1"/>
  <c r="M26" i="9" s="1"/>
  <c r="AM11" i="9"/>
  <c r="AM9" i="9"/>
  <c r="T9" i="9"/>
  <c r="AA9" i="9" s="1"/>
  <c r="M24" i="9" s="1"/>
  <c r="AM7" i="9"/>
  <c r="T7" i="9"/>
  <c r="AA7" i="9" s="1"/>
  <c r="M22" i="9" s="1"/>
  <c r="T5" i="9"/>
  <c r="AM5" i="9"/>
  <c r="AL12" i="9"/>
  <c r="S12" i="9"/>
  <c r="Z12" i="9" s="1"/>
  <c r="L27" i="9" s="1"/>
  <c r="S8" i="9"/>
  <c r="G23" i="9" s="1"/>
  <c r="AL8" i="9"/>
  <c r="R11" i="9"/>
  <c r="Y11" i="9" s="1"/>
  <c r="K26" i="9" s="1"/>
  <c r="AF11" i="9"/>
  <c r="R7" i="9"/>
  <c r="F22" i="9" s="1"/>
  <c r="AF7" i="9"/>
  <c r="AK4" i="9"/>
  <c r="R4" i="9"/>
  <c r="Y4" i="9" s="1"/>
  <c r="K19" i="9" s="1"/>
  <c r="K14" i="9"/>
  <c r="AK14" i="9" s="1"/>
  <c r="U11" i="9"/>
  <c r="AB11" i="9" s="1"/>
  <c r="N26" i="9" s="1"/>
  <c r="AN10" i="9"/>
  <c r="U10" i="9"/>
  <c r="AB10" i="9" s="1"/>
  <c r="N25" i="9" s="1"/>
  <c r="U7" i="9"/>
  <c r="AB7" i="9" s="1"/>
  <c r="N22" i="9" s="1"/>
  <c r="AN7" i="9"/>
  <c r="AN6" i="9"/>
  <c r="U6" i="9"/>
  <c r="AB6" i="9" s="1"/>
  <c r="N21" i="9" s="1"/>
  <c r="U4" i="9"/>
  <c r="AB4" i="9" s="1"/>
  <c r="N19" i="9" s="1"/>
  <c r="G21" i="9"/>
  <c r="R5" i="9"/>
  <c r="Y5" i="9" s="1"/>
  <c r="K20" i="9" s="1"/>
  <c r="U12" i="9"/>
  <c r="U13" i="9"/>
  <c r="AB13" i="9" s="1"/>
  <c r="N28" i="9" s="1"/>
  <c r="AN8" i="9"/>
  <c r="S10" i="9"/>
  <c r="G25" i="9" s="1"/>
  <c r="AF12" i="9"/>
  <c r="G12" i="9" s="1"/>
  <c r="AF8" i="9"/>
  <c r="O13" i="9"/>
  <c r="P13" i="9" s="1"/>
  <c r="D28" i="9" s="1"/>
  <c r="S13" i="9"/>
  <c r="S9" i="9"/>
  <c r="Z9" i="9" s="1"/>
  <c r="N14" i="9"/>
  <c r="AN14" i="9" s="1"/>
  <c r="AM4" i="9"/>
  <c r="AN11" i="9"/>
  <c r="AL5" i="9"/>
  <c r="O5" i="9" s="1"/>
  <c r="P5" i="9" s="1"/>
  <c r="S11" i="9"/>
  <c r="Z11" i="9" s="1"/>
  <c r="AC11" i="9" s="1"/>
  <c r="J26" i="9" s="1"/>
  <c r="O9" i="9"/>
  <c r="P9" i="9" s="1"/>
  <c r="AK10" i="9"/>
  <c r="O10" i="9" s="1"/>
  <c r="P10" i="9" s="1"/>
  <c r="D25" i="9" s="1"/>
  <c r="AK6" i="9"/>
  <c r="O6" i="9" s="1"/>
  <c r="P6" i="9" s="1"/>
  <c r="D21" i="9" s="1"/>
  <c r="F28" i="9"/>
  <c r="O12" i="9"/>
  <c r="P12" i="9" s="1"/>
  <c r="D27" i="9" s="1"/>
  <c r="O11" i="9"/>
  <c r="P11" i="9" s="1"/>
  <c r="W11" i="9" s="1"/>
  <c r="E26" i="9" s="1"/>
  <c r="O8" i="9"/>
  <c r="P8" i="9" s="1"/>
  <c r="D23" i="9" s="1"/>
  <c r="O7" i="9"/>
  <c r="P7" i="9" s="1"/>
  <c r="D22" i="9" s="1"/>
  <c r="O4" i="9"/>
  <c r="P4" i="9" s="1"/>
  <c r="D19" i="9" s="1"/>
  <c r="H27" i="9"/>
  <c r="Z7" i="9"/>
  <c r="L22" i="9" s="1"/>
  <c r="G22" i="9"/>
  <c r="G4" i="9"/>
  <c r="H4" i="9" s="1"/>
  <c r="I23" i="9"/>
  <c r="AA4" i="9"/>
  <c r="M19" i="9" s="1"/>
  <c r="S5" i="9"/>
  <c r="Z5" i="9" s="1"/>
  <c r="E14" i="9"/>
  <c r="AH14" i="9" s="1"/>
  <c r="AG7" i="9"/>
  <c r="G7" i="9" s="1"/>
  <c r="H7" i="9" s="1"/>
  <c r="G11" i="9"/>
  <c r="H11" i="9" s="1"/>
  <c r="C26" i="9" s="1"/>
  <c r="V12" i="9"/>
  <c r="Y7" i="9"/>
  <c r="K22" i="9" s="1"/>
  <c r="C14" i="9"/>
  <c r="V5" i="9"/>
  <c r="F26" i="9"/>
  <c r="V8" i="9"/>
  <c r="F23" i="9"/>
  <c r="H26" i="9"/>
  <c r="I26" i="9"/>
  <c r="F25" i="9"/>
  <c r="I22" i="9"/>
  <c r="V7" i="9"/>
  <c r="V13" i="9"/>
  <c r="F24" i="9"/>
  <c r="I21" i="9"/>
  <c r="AA6" i="9"/>
  <c r="M21" i="9" s="1"/>
  <c r="S14" i="9"/>
  <c r="G19" i="9"/>
  <c r="V9" i="9"/>
  <c r="F20" i="9"/>
  <c r="G27" i="9"/>
  <c r="G20" i="9"/>
  <c r="H25" i="9"/>
  <c r="I25" i="9"/>
  <c r="V6" i="9"/>
  <c r="V10" i="9"/>
  <c r="F27" i="9"/>
  <c r="F21" i="9"/>
  <c r="Y12" i="9"/>
  <c r="K27" i="9" s="1"/>
  <c r="Z10" i="9"/>
  <c r="L25" i="9" s="1"/>
  <c r="F19" i="9"/>
  <c r="H12" i="9"/>
  <c r="C27" i="9" s="1"/>
  <c r="V4" i="9"/>
  <c r="G13" i="9"/>
  <c r="H13" i="9" s="1"/>
  <c r="G10" i="9"/>
  <c r="H10" i="9" s="1"/>
  <c r="C25" i="9" s="1"/>
  <c r="G9" i="9"/>
  <c r="H9" i="9" s="1"/>
  <c r="G6" i="9"/>
  <c r="H6" i="9" s="1"/>
  <c r="C21" i="9" s="1"/>
  <c r="G5" i="9"/>
  <c r="H5" i="9" s="1"/>
  <c r="D20" i="9"/>
  <c r="D24" i="9"/>
  <c r="W4" i="9"/>
  <c r="E19" i="9" s="1"/>
  <c r="C19" i="9"/>
  <c r="AD4" i="9"/>
  <c r="AC6" i="9"/>
  <c r="J21" i="9" s="1"/>
  <c r="K21" i="9"/>
  <c r="AC4" i="9"/>
  <c r="J19" i="9" s="1"/>
  <c r="L19" i="9"/>
  <c r="D26" i="9"/>
  <c r="AD11" i="9"/>
  <c r="K25" i="9"/>
  <c r="N23" i="9"/>
  <c r="L24" i="9"/>
  <c r="AC9" i="9"/>
  <c r="J24" i="9" s="1"/>
  <c r="AC5" i="9"/>
  <c r="J20" i="9" s="1"/>
  <c r="L20" i="9"/>
  <c r="AA5" i="9" l="1"/>
  <c r="M20" i="9" s="1"/>
  <c r="H20" i="9"/>
  <c r="AC7" i="9"/>
  <c r="J22" i="9" s="1"/>
  <c r="I20" i="9"/>
  <c r="W8" i="9"/>
  <c r="E23" i="9" s="1"/>
  <c r="I28" i="9"/>
  <c r="H24" i="9"/>
  <c r="Z8" i="9"/>
  <c r="L23" i="9" s="1"/>
  <c r="AA8" i="9"/>
  <c r="M23" i="9" s="1"/>
  <c r="O14" i="9"/>
  <c r="P14" i="9" s="1"/>
  <c r="D29" i="9" s="1"/>
  <c r="H22" i="9"/>
  <c r="G8" i="9"/>
  <c r="H8" i="9" s="1"/>
  <c r="C23" i="9" s="1"/>
  <c r="G24" i="9"/>
  <c r="I24" i="9"/>
  <c r="H28" i="9"/>
  <c r="I19" i="9"/>
  <c r="AB12" i="9"/>
  <c r="N27" i="9" s="1"/>
  <c r="I27" i="9"/>
  <c r="L26" i="9"/>
  <c r="Z13" i="9"/>
  <c r="G28" i="9"/>
  <c r="AC8" i="9"/>
  <c r="J23" i="9" s="1"/>
  <c r="G26" i="9"/>
  <c r="V11" i="9"/>
  <c r="U14" i="9"/>
  <c r="I29" i="9" s="1"/>
  <c r="C22" i="9"/>
  <c r="AD7" i="9"/>
  <c r="W7" i="9"/>
  <c r="E22" i="9" s="1"/>
  <c r="T14" i="9"/>
  <c r="AD10" i="9"/>
  <c r="AF14" i="9"/>
  <c r="G14" i="9" s="1"/>
  <c r="H14" i="9" s="1"/>
  <c r="W14" i="9" s="1"/>
  <c r="E29" i="9" s="1"/>
  <c r="R14" i="9"/>
  <c r="W10" i="9"/>
  <c r="E25" i="9" s="1"/>
  <c r="AC12" i="9"/>
  <c r="J27" i="9" s="1"/>
  <c r="AB14" i="9"/>
  <c r="N29" i="9" s="1"/>
  <c r="C20" i="9"/>
  <c r="W5" i="9"/>
  <c r="E20" i="9" s="1"/>
  <c r="AD5" i="9"/>
  <c r="AD13" i="9"/>
  <c r="C28" i="9"/>
  <c r="AD12" i="9"/>
  <c r="AC10" i="9"/>
  <c r="J25" i="9" s="1"/>
  <c r="W12" i="9"/>
  <c r="E27" i="9" s="1"/>
  <c r="AD6" i="9"/>
  <c r="Z14" i="9"/>
  <c r="G29" i="9"/>
  <c r="AD9" i="9"/>
  <c r="C24" i="9"/>
  <c r="W9" i="9"/>
  <c r="E24" i="9" s="1"/>
  <c r="W13" i="9"/>
  <c r="E28" i="9" s="1"/>
  <c r="AD8" i="9"/>
  <c r="W6" i="9"/>
  <c r="E21" i="9" s="1"/>
  <c r="AD14" i="9" l="1"/>
  <c r="L28" i="9"/>
  <c r="AC13" i="9"/>
  <c r="J28" i="9" s="1"/>
  <c r="C29" i="9"/>
  <c r="AA14" i="9"/>
  <c r="M29" i="9" s="1"/>
  <c r="H29" i="9"/>
  <c r="Y14" i="9"/>
  <c r="K29" i="9" s="1"/>
  <c r="F29" i="9"/>
  <c r="V14" i="9"/>
  <c r="L29" i="9"/>
  <c r="AC14" i="9" l="1"/>
  <c r="J29" i="9" s="1"/>
</calcChain>
</file>

<file path=xl/sharedStrings.xml><?xml version="1.0" encoding="utf-8"?>
<sst xmlns="http://schemas.openxmlformats.org/spreadsheetml/2006/main" count="344" uniqueCount="103">
  <si>
    <t>Magnitud vectorial</t>
  </si>
  <si>
    <t>Indice de desempeño vectorial</t>
  </si>
  <si>
    <t>Indice de comparación vectorial</t>
  </si>
  <si>
    <t>Velocidad de cambio Magnitud vectorial</t>
  </si>
  <si>
    <t>VECTOR MÁXIMO</t>
  </si>
  <si>
    <t>indice de desempeño</t>
  </si>
  <si>
    <t>Tuxtla</t>
  </si>
  <si>
    <t>Jurisdicción Sanitaria</t>
  </si>
  <si>
    <t>Comitán</t>
  </si>
  <si>
    <t>Villaflores</t>
  </si>
  <si>
    <t>Pichucalco</t>
  </si>
  <si>
    <t>Palenque</t>
  </si>
  <si>
    <t>Tapachula</t>
  </si>
  <si>
    <t>Tonalá</t>
  </si>
  <si>
    <t>Ocosingo</t>
  </si>
  <si>
    <t>Motozintla</t>
  </si>
  <si>
    <t>Estatal</t>
  </si>
  <si>
    <t>TGZ</t>
  </si>
  <si>
    <t>SCLC</t>
  </si>
  <si>
    <t>COM</t>
  </si>
  <si>
    <t>VILL</t>
  </si>
  <si>
    <t>PICH</t>
  </si>
  <si>
    <t>PAL</t>
  </si>
  <si>
    <t>TAP</t>
  </si>
  <si>
    <t>TON</t>
  </si>
  <si>
    <t>OCO</t>
  </si>
  <si>
    <t>MOT</t>
  </si>
  <si>
    <t>EST</t>
  </si>
  <si>
    <t>Presione el ícono para ejecutar el programa</t>
  </si>
  <si>
    <t>GENERAL</t>
  </si>
  <si>
    <t>San Cristóbal</t>
  </si>
  <si>
    <t>Lugar</t>
  </si>
  <si>
    <t>Índice de Evaluación</t>
  </si>
  <si>
    <t>Indicadores Ponderador</t>
  </si>
  <si>
    <t>Categoría</t>
  </si>
  <si>
    <t>Intervalo</t>
  </si>
  <si>
    <t>Gradiente de evaluación</t>
  </si>
  <si>
    <t>Sobresaliente</t>
  </si>
  <si>
    <t>Satisfactorio</t>
  </si>
  <si>
    <t>Mínimo</t>
  </si>
  <si>
    <t>Precario</t>
  </si>
  <si>
    <t xml:space="preserve">Vector diferencia entre </t>
  </si>
  <si>
    <t>-</t>
  </si>
  <si>
    <t>Magnitud</t>
  </si>
  <si>
    <t>Velocidad Mensual de Cambio Según Componente</t>
  </si>
  <si>
    <t>Satisfatorio</t>
  </si>
  <si>
    <t>&lt; 50.0</t>
  </si>
  <si>
    <t>51.0 &lt;100.0</t>
  </si>
  <si>
    <t>39.5 &lt;51.0</t>
  </si>
  <si>
    <t>&lt;39.5</t>
  </si>
  <si>
    <t>100.0 a ≤ 100</t>
  </si>
  <si>
    <t>60.0 &lt;100.0</t>
  </si>
  <si>
    <t>20.0 &lt;60.0</t>
  </si>
  <si>
    <t>&lt;20.0</t>
  </si>
  <si>
    <t>85.0 a ≤ 100.0</t>
  </si>
  <si>
    <t>70.0 a &lt; 85.0</t>
  </si>
  <si>
    <t>50.0 a &lt; 70.0</t>
  </si>
  <si>
    <t>Los Indicadores son:</t>
  </si>
  <si>
    <t xml:space="preserve"> </t>
  </si>
  <si>
    <t>90.0 a ≤ 100.0</t>
  </si>
  <si>
    <t>80.0 - 89.9</t>
  </si>
  <si>
    <t>60.0 - 79.9</t>
  </si>
  <si>
    <t>&lt; 60.0</t>
  </si>
  <si>
    <t>L e p r a</t>
  </si>
  <si>
    <t>Diagnóstico Oportuno</t>
  </si>
  <si>
    <t>Calidad en el Diagnóstico</t>
  </si>
  <si>
    <t>Cobertura del Tratamiento</t>
  </si>
  <si>
    <t>Examen de Contactos</t>
  </si>
  <si>
    <t>LEPRA VECTOR DIFERENCIA</t>
  </si>
  <si>
    <t>1.- Diagnóstico Oportuno</t>
  </si>
  <si>
    <t>2.- Calidad en el Diagnóstico</t>
  </si>
  <si>
    <t>4.- Examen de Contactos</t>
  </si>
  <si>
    <t>3.- Cobertura del Tratamiento</t>
  </si>
  <si>
    <t>&lt; 40.0</t>
  </si>
  <si>
    <t>40.0 - 59.9</t>
  </si>
  <si>
    <t>&gt; 80.0</t>
  </si>
  <si>
    <t>INDICADORES:</t>
  </si>
  <si>
    <t>LEPRA VELOCIDAD DE CAMBIO</t>
  </si>
  <si>
    <t>1er. Semestre 2012</t>
  </si>
  <si>
    <t>1er. Semestre 2013</t>
  </si>
  <si>
    <t>Tasa de Prevalencia Puntual</t>
  </si>
  <si>
    <t>con ponderador 2012</t>
  </si>
  <si>
    <t>con ponderador 2013</t>
  </si>
  <si>
    <r>
      <t xml:space="preserve">3.- </t>
    </r>
    <r>
      <rPr>
        <sz val="8"/>
        <rFont val="Cambria"/>
        <family val="2"/>
        <scheme val="minor"/>
      </rPr>
      <t>Cobertura del Tratamiento</t>
    </r>
  </si>
  <si>
    <r>
      <t>2.-</t>
    </r>
    <r>
      <rPr>
        <sz val="8"/>
        <rFont val="Cambria"/>
        <family val="2"/>
        <scheme val="minor"/>
      </rPr>
      <t xml:space="preserve"> Calidad en el Diagnóstico</t>
    </r>
  </si>
  <si>
    <r>
      <t>4.-</t>
    </r>
    <r>
      <rPr>
        <sz val="8"/>
        <rFont val="Cambria"/>
        <family val="2"/>
        <scheme val="minor"/>
      </rPr>
      <t xml:space="preserve"> Examen de Contactos</t>
    </r>
  </si>
  <si>
    <t>Dirección de Salud Pública</t>
  </si>
  <si>
    <r>
      <rPr>
        <b/>
        <sz val="12"/>
        <rFont val="Arial"/>
        <family val="2"/>
      </rPr>
      <t>Ár</t>
    </r>
    <r>
      <rPr>
        <sz val="12"/>
        <rFont val="Arial"/>
        <family val="2"/>
      </rPr>
      <t>ea de</t>
    </r>
    <r>
      <rPr>
        <b/>
        <sz val="12"/>
        <rFont val="Arial"/>
        <family val="2"/>
      </rPr>
      <t xml:space="preserve"> I</t>
    </r>
    <r>
      <rPr>
        <sz val="12"/>
        <rFont val="Arial"/>
        <family val="2"/>
      </rPr>
      <t>nformación</t>
    </r>
    <r>
      <rPr>
        <b/>
        <sz val="12"/>
        <rFont val="Arial"/>
        <family val="2"/>
      </rPr>
      <t xml:space="preserve"> Epi</t>
    </r>
    <r>
      <rPr>
        <sz val="12"/>
        <rFont val="Arial"/>
        <family val="2"/>
      </rPr>
      <t>demiológica</t>
    </r>
  </si>
  <si>
    <t>1.- Diagnóstico Oportuno ( 30 )</t>
  </si>
  <si>
    <t>2.- Calidad en el Diagnóstico ( 20 )</t>
  </si>
  <si>
    <t>3.- Cobertura de Tratamiento ( 30 )</t>
  </si>
  <si>
    <t>4.- Examen de Contactos ( 20 )</t>
  </si>
  <si>
    <t xml:space="preserve">      Tasa de Prevalencia Puntual ( 0 )</t>
  </si>
  <si>
    <t>1er. Trimestre 2013</t>
  </si>
  <si>
    <t># Casos con discapacidad Grado 0</t>
  </si>
  <si>
    <t># Casos evaluados</t>
  </si>
  <si>
    <t># Casos con estudio de baciloscopia e hitpatología</t>
  </si>
  <si>
    <t># Casos notificados</t>
  </si>
  <si>
    <t># Casos con Tx Poloquimioterapia</t>
  </si>
  <si>
    <t># Contactos examinados</t>
  </si>
  <si>
    <t># Contactos registrados</t>
  </si>
  <si>
    <t>Tuxtla Gutierrez</t>
  </si>
  <si>
    <t>1er. Trimestre 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</si>
</sst>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,##0.0"/>
  </numFmts>
  <fonts count="54">
    <font>
      <sz val="10"/>
      <name val="Arial"/>
    </font>
    <font>
      <sz val="11"/>
      <color theme="1"/>
      <name val="Cambria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name val="Arial"/>
    </font>
    <font>
      <b/>
      <sz val="14"/>
      <color indexed="8"/>
      <name val="Times New Roman"/>
      <family val="1"/>
    </font>
    <font>
      <b/>
      <sz val="8"/>
      <name val="Times New Roman"/>
      <family val="1"/>
    </font>
    <font>
      <b/>
      <sz val="10"/>
      <color indexed="8"/>
      <name val="Times New Roman"/>
      <family val="1"/>
    </font>
    <font>
      <b/>
      <sz val="8"/>
      <color indexed="8"/>
      <name val="Times New Roman"/>
      <family val="1"/>
    </font>
    <font>
      <b/>
      <sz val="8"/>
      <name val="Arial"/>
      <family val="2"/>
    </font>
    <font>
      <sz val="10"/>
      <color indexed="8"/>
      <name val="Times New Roman"/>
      <family val="1"/>
    </font>
    <font>
      <sz val="10"/>
      <color indexed="8"/>
      <name val="Arial"/>
    </font>
    <font>
      <b/>
      <sz val="16"/>
      <color indexed="18"/>
      <name val="Times New Roman"/>
      <family val="1"/>
    </font>
    <font>
      <b/>
      <sz val="14"/>
      <color indexed="60"/>
      <name val="Arial"/>
      <family val="2"/>
    </font>
    <font>
      <b/>
      <sz val="12"/>
      <color indexed="59"/>
      <name val="Arial"/>
      <family val="2"/>
    </font>
    <font>
      <b/>
      <sz val="14"/>
      <color indexed="18"/>
      <name val="Arial"/>
      <family val="2"/>
    </font>
    <font>
      <b/>
      <sz val="28"/>
      <color indexed="59"/>
      <name val="Arial Black"/>
      <family val="2"/>
    </font>
    <font>
      <sz val="14"/>
      <color indexed="8"/>
      <name val="Times New Roman"/>
      <family val="1"/>
    </font>
    <font>
      <sz val="8"/>
      <name val="Arial"/>
      <family val="2"/>
    </font>
    <font>
      <b/>
      <sz val="6"/>
      <name val="Arial"/>
      <family val="2"/>
    </font>
    <font>
      <b/>
      <sz val="10"/>
      <name val="Arial"/>
    </font>
    <font>
      <sz val="7"/>
      <name val="Arial"/>
      <family val="2"/>
    </font>
    <font>
      <b/>
      <sz val="14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b/>
      <i/>
      <sz val="8"/>
      <name val="Arial"/>
      <family val="2"/>
    </font>
    <font>
      <sz val="10"/>
      <color indexed="10"/>
      <name val="Arial"/>
      <family val="2"/>
    </font>
    <font>
      <b/>
      <sz val="16"/>
      <name val="Arial"/>
      <family val="2"/>
    </font>
    <font>
      <i/>
      <sz val="8"/>
      <name val="Arial"/>
      <family val="2"/>
    </font>
    <font>
      <sz val="6"/>
      <name val="Arial"/>
    </font>
    <font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8"/>
      <name val="Cambria"/>
      <family val="2"/>
      <scheme val="minor"/>
    </font>
    <font>
      <sz val="8"/>
      <name val="Cambria"/>
      <family val="2"/>
      <scheme val="minor"/>
    </font>
    <font>
      <sz val="10"/>
      <name val="Cambria"/>
      <family val="2"/>
      <scheme val="minor"/>
    </font>
    <font>
      <b/>
      <sz val="10"/>
      <name val="Cambria"/>
      <family val="2"/>
      <scheme val="minor"/>
    </font>
    <font>
      <b/>
      <sz val="18"/>
      <color theme="3"/>
      <name val="Calibri"/>
      <family val="2"/>
      <scheme val="major"/>
    </font>
    <font>
      <b/>
      <sz val="11"/>
      <name val="Cambria"/>
      <family val="2"/>
      <scheme val="minor"/>
    </font>
    <font>
      <b/>
      <sz val="18"/>
      <color theme="3"/>
      <name val="Calibri"/>
      <family val="1"/>
      <scheme val="major"/>
    </font>
    <font>
      <sz val="10"/>
      <name val="Cambria"/>
      <family val="1"/>
      <scheme val="minor"/>
    </font>
    <font>
      <sz val="10"/>
      <name val="Calibri"/>
      <family val="2"/>
      <scheme val="major"/>
    </font>
    <font>
      <b/>
      <sz val="12"/>
      <name val="Calibri"/>
      <family val="2"/>
      <scheme val="major"/>
    </font>
    <font>
      <b/>
      <sz val="8"/>
      <name val="Cambria"/>
      <family val="1"/>
      <scheme val="minor"/>
    </font>
    <font>
      <sz val="8"/>
      <name val="Times New Roman Bold"/>
    </font>
    <font>
      <b/>
      <sz val="8"/>
      <color theme="0"/>
      <name val="Arial"/>
      <family val="2"/>
    </font>
    <font>
      <b/>
      <sz val="11"/>
      <color theme="0"/>
      <name val="Lucida Grande"/>
    </font>
    <font>
      <sz val="8"/>
      <color theme="1"/>
      <name val="Cambria"/>
      <family val="2"/>
      <scheme val="minor"/>
    </font>
    <font>
      <b/>
      <sz val="30"/>
      <color indexed="8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42"/>
      </patternFill>
    </fill>
    <fill>
      <patternFill patternType="solid">
        <fgColor theme="4" tint="0.79998168889431442"/>
        <bgColor indexed="2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42"/>
      </patternFill>
    </fill>
    <fill>
      <patternFill patternType="solid">
        <fgColor theme="5" tint="-0.2499465926084170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53"/>
      </left>
      <right/>
      <top style="thick">
        <color indexed="53"/>
      </top>
      <bottom style="thick">
        <color indexed="53"/>
      </bottom>
      <diagonal/>
    </border>
    <border>
      <left/>
      <right style="thick">
        <color indexed="53"/>
      </right>
      <top style="thick">
        <color indexed="53"/>
      </top>
      <bottom style="thick">
        <color indexed="53"/>
      </bottom>
      <diagonal/>
    </border>
    <border>
      <left/>
      <right/>
      <top style="thick">
        <color indexed="53"/>
      </top>
      <bottom style="thick">
        <color indexed="53"/>
      </bottom>
      <diagonal/>
    </border>
    <border>
      <left style="thick">
        <color indexed="53"/>
      </left>
      <right/>
      <top style="thick">
        <color indexed="53"/>
      </top>
      <bottom style="thin">
        <color indexed="53"/>
      </bottom>
      <diagonal/>
    </border>
    <border>
      <left/>
      <right style="thick">
        <color indexed="53"/>
      </right>
      <top style="thick">
        <color indexed="53"/>
      </top>
      <bottom style="thin">
        <color indexed="53"/>
      </bottom>
      <diagonal/>
    </border>
    <border>
      <left/>
      <right/>
      <top style="thick">
        <color indexed="53"/>
      </top>
      <bottom style="thin">
        <color indexed="53"/>
      </bottom>
      <diagonal/>
    </border>
    <border>
      <left style="thick">
        <color indexed="53"/>
      </left>
      <right/>
      <top style="thin">
        <color indexed="53"/>
      </top>
      <bottom style="thin">
        <color indexed="53"/>
      </bottom>
      <diagonal/>
    </border>
    <border>
      <left/>
      <right style="thick">
        <color indexed="53"/>
      </right>
      <top style="thin">
        <color indexed="53"/>
      </top>
      <bottom style="thin">
        <color indexed="53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 style="thick">
        <color indexed="53"/>
      </left>
      <right/>
      <top/>
      <bottom style="thick">
        <color indexed="53"/>
      </bottom>
      <diagonal/>
    </border>
    <border>
      <left/>
      <right style="thick">
        <color indexed="53"/>
      </right>
      <top/>
      <bottom style="thick">
        <color indexed="53"/>
      </bottom>
      <diagonal/>
    </border>
    <border>
      <left/>
      <right/>
      <top/>
      <bottom style="thick">
        <color indexed="5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42" fillId="0" borderId="0" applyNumberFormat="0" applyFill="0" applyBorder="0" applyAlignment="0" applyProtection="0"/>
    <xf numFmtId="0" fontId="1" fillId="0" borderId="0"/>
  </cellStyleXfs>
  <cellXfs count="304">
    <xf numFmtId="0" fontId="0" fillId="0" borderId="0" xfId="0"/>
    <xf numFmtId="164" fontId="0" fillId="0" borderId="0" xfId="0" applyNumberFormat="1"/>
    <xf numFmtId="0" fontId="3" fillId="0" borderId="0" xfId="0" applyFont="1" applyProtection="1"/>
    <xf numFmtId="0" fontId="0" fillId="0" borderId="0" xfId="0" applyProtection="1"/>
    <xf numFmtId="1" fontId="2" fillId="2" borderId="1" xfId="0" applyNumberFormat="1" applyFont="1" applyFill="1" applyBorder="1" applyAlignment="1" applyProtection="1">
      <alignment horizontal="left" vertical="center"/>
    </xf>
    <xf numFmtId="0" fontId="0" fillId="0" borderId="0" xfId="0" applyBorder="1" applyProtection="1"/>
    <xf numFmtId="1" fontId="0" fillId="0" borderId="0" xfId="0" applyNumberFormat="1" applyBorder="1" applyProtection="1"/>
    <xf numFmtId="4" fontId="0" fillId="0" borderId="0" xfId="0" applyNumberFormat="1" applyBorder="1" applyProtection="1"/>
    <xf numFmtId="2" fontId="0" fillId="0" borderId="0" xfId="0" applyNumberFormat="1" applyBorder="1" applyProtection="1"/>
    <xf numFmtId="2" fontId="0" fillId="0" borderId="0" xfId="0" applyNumberFormat="1" applyProtection="1"/>
    <xf numFmtId="164" fontId="0" fillId="0" borderId="0" xfId="0" applyNumberFormat="1" applyProtection="1"/>
    <xf numFmtId="1" fontId="0" fillId="0" borderId="0" xfId="0" applyNumberFormat="1" applyProtection="1"/>
    <xf numFmtId="0" fontId="4" fillId="2" borderId="1" xfId="0" applyFont="1" applyFill="1" applyBorder="1" applyAlignment="1" applyProtection="1">
      <alignment horizontal="center" vertical="center" wrapText="1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5" borderId="1" xfId="0" applyFont="1" applyFill="1" applyBorder="1" applyAlignment="1" applyProtection="1">
      <alignment horizontal="center" vertical="center" wrapText="1"/>
    </xf>
    <xf numFmtId="0" fontId="4" fillId="7" borderId="1" xfId="0" applyFont="1" applyFill="1" applyBorder="1" applyAlignment="1" applyProtection="1">
      <alignment horizontal="center" vertical="center" wrapText="1"/>
    </xf>
    <xf numFmtId="0" fontId="4" fillId="2" borderId="1" xfId="0" applyFont="1" applyFill="1" applyBorder="1" applyAlignment="1" applyProtection="1">
      <alignment horizontal="left" vertical="center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5" fillId="0" borderId="0" xfId="0" applyFont="1"/>
    <xf numFmtId="164" fontId="5" fillId="0" borderId="0" xfId="0" applyNumberFormat="1" applyFont="1"/>
    <xf numFmtId="0" fontId="5" fillId="0" borderId="0" xfId="0" applyFont="1" applyProtection="1">
      <protection locked="0"/>
    </xf>
    <xf numFmtId="16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164" fontId="6" fillId="0" borderId="0" xfId="0" applyNumberFormat="1" applyFont="1" applyProtection="1">
      <protection locked="0"/>
    </xf>
    <xf numFmtId="0" fontId="6" fillId="0" borderId="0" xfId="0" applyFont="1" applyAlignment="1" applyProtection="1">
      <alignment horizontal="center" vertical="justify"/>
      <protection locked="0"/>
    </xf>
    <xf numFmtId="164" fontId="6" fillId="0" borderId="0" xfId="0" applyNumberFormat="1" applyFont="1" applyAlignment="1" applyProtection="1">
      <protection locked="0"/>
    </xf>
    <xf numFmtId="0" fontId="0" fillId="0" borderId="0" xfId="0" applyAlignment="1"/>
    <xf numFmtId="0" fontId="0" fillId="0" borderId="0" xfId="0" applyNumberFormat="1" applyBorder="1" applyProtection="1"/>
    <xf numFmtId="0" fontId="9" fillId="0" borderId="0" xfId="0" applyFont="1" applyAlignment="1">
      <alignment horizontal="center" vertical="justify"/>
    </xf>
    <xf numFmtId="164" fontId="9" fillId="0" borderId="0" xfId="0" applyNumberFormat="1" applyFont="1" applyAlignment="1" applyProtection="1">
      <alignment horizontal="center" vertical="justify"/>
      <protection locked="0"/>
    </xf>
    <xf numFmtId="164" fontId="9" fillId="0" borderId="0" xfId="0" applyNumberFormat="1" applyFont="1" applyAlignment="1">
      <alignment horizontal="center" vertical="justify"/>
    </xf>
    <xf numFmtId="0" fontId="12" fillId="0" borderId="0" xfId="0" applyFont="1" applyAlignment="1" applyProtection="1">
      <alignment horizontal="justify"/>
    </xf>
    <xf numFmtId="49" fontId="9" fillId="9" borderId="0" xfId="0" applyNumberFormat="1" applyFont="1" applyFill="1" applyAlignment="1" applyProtection="1">
      <alignment horizontal="center" vertical="justify"/>
      <protection locked="0"/>
    </xf>
    <xf numFmtId="164" fontId="5" fillId="9" borderId="0" xfId="0" applyNumberFormat="1" applyFont="1" applyFill="1" applyProtection="1">
      <protection locked="0"/>
    </xf>
    <xf numFmtId="164" fontId="6" fillId="9" borderId="0" xfId="0" applyNumberFormat="1" applyFont="1" applyFill="1" applyProtection="1">
      <protection locked="0"/>
    </xf>
    <xf numFmtId="49" fontId="11" fillId="8" borderId="0" xfId="0" applyNumberFormat="1" applyFont="1" applyFill="1" applyAlignment="1" applyProtection="1">
      <alignment horizontal="center" vertical="justify"/>
      <protection locked="0"/>
    </xf>
    <xf numFmtId="164" fontId="13" fillId="8" borderId="0" xfId="0" applyNumberFormat="1" applyFont="1" applyFill="1" applyProtection="1">
      <protection locked="0"/>
    </xf>
    <xf numFmtId="164" fontId="10" fillId="8" borderId="0" xfId="0" applyNumberFormat="1" applyFont="1" applyFill="1" applyProtection="1">
      <protection locked="0"/>
    </xf>
    <xf numFmtId="2" fontId="0" fillId="0" borderId="0" xfId="0" applyNumberFormat="1" applyBorder="1" applyAlignment="1" applyProtection="1">
      <alignment horizontal="center" vertical="justify"/>
    </xf>
    <xf numFmtId="0" fontId="0" fillId="0" borderId="0" xfId="0" applyAlignment="1" applyProtection="1">
      <alignment horizontal="center" vertical="justify"/>
    </xf>
    <xf numFmtId="164" fontId="13" fillId="0" borderId="0" xfId="0" applyNumberFormat="1" applyFont="1" applyFill="1"/>
    <xf numFmtId="164" fontId="10" fillId="0" borderId="0" xfId="0" applyNumberFormat="1" applyFont="1" applyFill="1"/>
    <xf numFmtId="0" fontId="13" fillId="0" borderId="0" xfId="0" applyFont="1"/>
    <xf numFmtId="0" fontId="14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justify"/>
    </xf>
    <xf numFmtId="164" fontId="13" fillId="0" borderId="0" xfId="0" applyNumberFormat="1" applyFont="1"/>
    <xf numFmtId="0" fontId="10" fillId="0" borderId="0" xfId="0" applyFont="1"/>
    <xf numFmtId="164" fontId="10" fillId="0" borderId="0" xfId="0" applyNumberFormat="1" applyFont="1"/>
    <xf numFmtId="164" fontId="9" fillId="0" borderId="0" xfId="0" applyNumberFormat="1" applyFont="1" applyFill="1" applyAlignment="1">
      <alignment horizontal="center" vertical="justify"/>
    </xf>
    <xf numFmtId="164" fontId="5" fillId="0" borderId="0" xfId="0" applyNumberFormat="1" applyFont="1" applyFill="1"/>
    <xf numFmtId="164" fontId="9" fillId="3" borderId="0" xfId="0" applyNumberFormat="1" applyFont="1" applyFill="1" applyAlignment="1" applyProtection="1">
      <alignment horizontal="center" vertical="justify"/>
      <protection locked="0"/>
    </xf>
    <xf numFmtId="164" fontId="5" fillId="3" borderId="0" xfId="0" applyNumberFormat="1" applyFont="1" applyFill="1" applyProtection="1">
      <protection locked="0"/>
    </xf>
    <xf numFmtId="164" fontId="6" fillId="3" borderId="0" xfId="0" applyNumberFormat="1" applyFont="1" applyFill="1" applyProtection="1">
      <protection locked="0"/>
    </xf>
    <xf numFmtId="0" fontId="7" fillId="0" borderId="0" xfId="0" applyFont="1" applyProtection="1"/>
    <xf numFmtId="4" fontId="7" fillId="0" borderId="0" xfId="0" applyNumberFormat="1" applyFont="1" applyProtection="1"/>
    <xf numFmtId="0" fontId="15" fillId="0" borderId="0" xfId="0" applyFont="1" applyAlignment="1">
      <alignment vertical="center" wrapText="1"/>
    </xf>
    <xf numFmtId="0" fontId="16" fillId="0" borderId="0" xfId="0" applyFont="1" applyAlignment="1">
      <alignment horizontal="center" vertical="justify" wrapText="1"/>
    </xf>
    <xf numFmtId="0" fontId="0" fillId="0" borderId="0" xfId="0" applyAlignment="1">
      <alignment horizontal="center" vertical="center" textRotation="45" wrapText="1"/>
    </xf>
    <xf numFmtId="0" fontId="17" fillId="0" borderId="0" xfId="0" applyFont="1"/>
    <xf numFmtId="0" fontId="18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12" fillId="0" borderId="0" xfId="0" applyFont="1" applyAlignment="1">
      <alignment vertical="center" wrapText="1"/>
    </xf>
    <xf numFmtId="0" fontId="5" fillId="0" borderId="0" xfId="0" applyFont="1" applyBorder="1"/>
    <xf numFmtId="164" fontId="6" fillId="0" borderId="0" xfId="0" applyNumberFormat="1" applyFont="1" applyBorder="1" applyAlignment="1">
      <alignment horizontal="right" vertical="center"/>
    </xf>
    <xf numFmtId="0" fontId="0" fillId="0" borderId="0" xfId="0" applyBorder="1" applyAlignment="1">
      <alignment horizontal="center"/>
    </xf>
    <xf numFmtId="164" fontId="9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164" fontId="12" fillId="0" borderId="0" xfId="0" applyNumberFormat="1" applyFont="1" applyBorder="1" applyAlignment="1">
      <alignment horizontal="right" vertical="center"/>
    </xf>
    <xf numFmtId="0" fontId="7" fillId="0" borderId="0" xfId="0" applyFont="1" applyAlignment="1">
      <alignment horizontal="right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 applyAlignment="1">
      <alignment vertical="center"/>
    </xf>
    <xf numFmtId="0" fontId="28" fillId="0" borderId="0" xfId="0" applyFont="1"/>
    <xf numFmtId="0" fontId="21" fillId="0" borderId="0" xfId="0" applyFont="1"/>
    <xf numFmtId="0" fontId="12" fillId="10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29" fillId="0" borderId="0" xfId="0" applyFont="1"/>
    <xf numFmtId="0" fontId="7" fillId="10" borderId="7" xfId="0" applyFont="1" applyFill="1" applyBorder="1"/>
    <xf numFmtId="164" fontId="7" fillId="11" borderId="8" xfId="0" applyNumberFormat="1" applyFont="1" applyFill="1" applyBorder="1"/>
    <xf numFmtId="164" fontId="7" fillId="10" borderId="9" xfId="0" applyNumberFormat="1" applyFont="1" applyFill="1" applyBorder="1"/>
    <xf numFmtId="164" fontId="21" fillId="10" borderId="7" xfId="0" applyNumberFormat="1" applyFont="1" applyFill="1" applyBorder="1"/>
    <xf numFmtId="164" fontId="21" fillId="11" borderId="8" xfId="0" applyNumberFormat="1" applyFont="1" applyFill="1" applyBorder="1"/>
    <xf numFmtId="0" fontId="7" fillId="10" borderId="10" xfId="0" applyFont="1" applyFill="1" applyBorder="1"/>
    <xf numFmtId="164" fontId="7" fillId="11" borderId="11" xfId="0" applyNumberFormat="1" applyFont="1" applyFill="1" applyBorder="1"/>
    <xf numFmtId="164" fontId="7" fillId="10" borderId="12" xfId="0" applyNumberFormat="1" applyFont="1" applyFill="1" applyBorder="1"/>
    <xf numFmtId="164" fontId="21" fillId="10" borderId="10" xfId="0" applyNumberFormat="1" applyFont="1" applyFill="1" applyBorder="1"/>
    <xf numFmtId="164" fontId="21" fillId="11" borderId="11" xfId="0" applyNumberFormat="1" applyFont="1" applyFill="1" applyBorder="1"/>
    <xf numFmtId="0" fontId="12" fillId="10" borderId="13" xfId="0" applyFont="1" applyFill="1" applyBorder="1"/>
    <xf numFmtId="164" fontId="12" fillId="11" borderId="14" xfId="0" applyNumberFormat="1" applyFont="1" applyFill="1" applyBorder="1"/>
    <xf numFmtId="164" fontId="12" fillId="10" borderId="15" xfId="0" applyNumberFormat="1" applyFont="1" applyFill="1" applyBorder="1"/>
    <xf numFmtId="164" fontId="12" fillId="10" borderId="13" xfId="0" applyNumberFormat="1" applyFont="1" applyFill="1" applyBorder="1"/>
    <xf numFmtId="0" fontId="0" fillId="12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4" borderId="1" xfId="0" applyFill="1" applyBorder="1" applyAlignment="1">
      <alignment horizontal="left"/>
    </xf>
    <xf numFmtId="0" fontId="4" fillId="0" borderId="0" xfId="0" applyFont="1" applyAlignment="1"/>
    <xf numFmtId="0" fontId="3" fillId="0" borderId="0" xfId="0" applyFont="1"/>
    <xf numFmtId="0" fontId="11" fillId="0" borderId="0" xfId="0" applyFont="1" applyFill="1" applyAlignment="1">
      <alignment horizontal="center" vertical="justify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/>
    </xf>
    <xf numFmtId="0" fontId="2" fillId="0" borderId="0" xfId="0" applyFont="1"/>
    <xf numFmtId="0" fontId="0" fillId="0" borderId="0" xfId="0" applyFill="1" applyAlignment="1">
      <alignment horizontal="center" vertical="justify"/>
    </xf>
    <xf numFmtId="0" fontId="0" fillId="0" borderId="0" xfId="0" applyFill="1"/>
    <xf numFmtId="0" fontId="14" fillId="0" borderId="0" xfId="0" applyFont="1" applyFill="1"/>
    <xf numFmtId="164" fontId="0" fillId="0" borderId="0" xfId="0" applyNumberFormat="1" applyBorder="1" applyProtection="1"/>
    <xf numFmtId="0" fontId="10" fillId="0" borderId="0" xfId="0" applyFont="1" applyFill="1" applyBorder="1" applyAlignment="1" applyProtection="1">
      <alignment horizontal="left" vertical="center"/>
    </xf>
    <xf numFmtId="0" fontId="36" fillId="15" borderId="1" xfId="0" applyFont="1" applyFill="1" applyBorder="1" applyAlignment="1" applyProtection="1">
      <alignment horizontal="center" vertical="center" wrapText="1"/>
    </xf>
    <xf numFmtId="0" fontId="36" fillId="8" borderId="1" xfId="0" applyFont="1" applyFill="1" applyBorder="1" applyAlignment="1" applyProtection="1">
      <alignment horizontal="center" vertical="center" wrapText="1"/>
    </xf>
    <xf numFmtId="0" fontId="4" fillId="9" borderId="1" xfId="0" applyFont="1" applyFill="1" applyBorder="1" applyAlignment="1" applyProtection="1">
      <alignment horizontal="center" vertical="center" wrapText="1"/>
    </xf>
    <xf numFmtId="1" fontId="2" fillId="10" borderId="1" xfId="0" applyNumberFormat="1" applyFont="1" applyFill="1" applyBorder="1" applyAlignment="1" applyProtection="1">
      <alignment horizontal="left" vertical="center"/>
    </xf>
    <xf numFmtId="4" fontId="2" fillId="16" borderId="1" xfId="0" applyNumberFormat="1" applyFont="1" applyFill="1" applyBorder="1" applyAlignment="1" applyProtection="1">
      <alignment horizontal="right" vertical="center"/>
      <protection locked="0"/>
    </xf>
    <xf numFmtId="0" fontId="4" fillId="2" borderId="1" xfId="0" applyFont="1" applyFill="1" applyBorder="1" applyAlignment="1" applyProtection="1">
      <alignment horizontal="center" vertical="center"/>
    </xf>
    <xf numFmtId="164" fontId="4" fillId="2" borderId="1" xfId="0" applyNumberFormat="1" applyFont="1" applyFill="1" applyBorder="1" applyAlignment="1" applyProtection="1">
      <alignment horizontal="right" vertical="center"/>
    </xf>
    <xf numFmtId="0" fontId="4" fillId="0" borderId="2" xfId="0" applyFont="1" applyBorder="1" applyAlignment="1" applyProtection="1">
      <alignment horizontal="center" vertical="center" wrapText="1"/>
    </xf>
    <xf numFmtId="0" fontId="4" fillId="0" borderId="2" xfId="0" applyFont="1" applyBorder="1" applyAlignment="1" applyProtection="1">
      <alignment horizontal="center" vertical="center"/>
    </xf>
    <xf numFmtId="0" fontId="36" fillId="9" borderId="1" xfId="0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vertical="center"/>
    </xf>
    <xf numFmtId="0" fontId="11" fillId="18" borderId="0" xfId="0" applyFont="1" applyFill="1" applyAlignment="1">
      <alignment horizontal="center" vertical="justify"/>
    </xf>
    <xf numFmtId="164" fontId="13" fillId="18" borderId="0" xfId="0" applyNumberFormat="1" applyFont="1" applyFill="1"/>
    <xf numFmtId="164" fontId="10" fillId="18" borderId="0" xfId="0" applyNumberFormat="1" applyFont="1" applyFill="1"/>
    <xf numFmtId="164" fontId="2" fillId="20" borderId="1" xfId="0" applyNumberFormat="1" applyFont="1" applyFill="1" applyBorder="1" applyAlignment="1" applyProtection="1">
      <alignment horizontal="right" vertical="center"/>
      <protection locked="0"/>
    </xf>
    <xf numFmtId="0" fontId="4" fillId="21" borderId="1" xfId="0" applyFont="1" applyFill="1" applyBorder="1" applyAlignment="1" applyProtection="1">
      <alignment horizontal="center" vertical="center" wrapText="1"/>
    </xf>
    <xf numFmtId="0" fontId="4" fillId="18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vertical="center"/>
      <protection hidden="1"/>
    </xf>
    <xf numFmtId="3" fontId="4" fillId="0" borderId="1" xfId="0" applyNumberFormat="1" applyFont="1" applyFill="1" applyBorder="1" applyAlignment="1" applyProtection="1">
      <alignment horizontal="right" vertical="center"/>
      <protection hidden="1"/>
    </xf>
    <xf numFmtId="1" fontId="4" fillId="0" borderId="1" xfId="0" applyNumberFormat="1" applyFont="1" applyFill="1" applyBorder="1" applyAlignment="1" applyProtection="1">
      <alignment horizontal="right" vertical="center"/>
      <protection hidden="1"/>
    </xf>
    <xf numFmtId="164" fontId="4" fillId="0" borderId="0" xfId="0" applyNumberFormat="1" applyFont="1" applyFill="1" applyAlignment="1" applyProtection="1">
      <alignment vertical="center"/>
      <protection hidden="1"/>
    </xf>
    <xf numFmtId="0" fontId="35" fillId="8" borderId="1" xfId="0" applyFont="1" applyFill="1" applyBorder="1" applyAlignment="1">
      <alignment horizontal="left" vertical="center"/>
    </xf>
    <xf numFmtId="0" fontId="0" fillId="0" borderId="0" xfId="0" applyAlignment="1" applyProtection="1">
      <alignment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164" fontId="37" fillId="15" borderId="1" xfId="0" applyNumberFormat="1" applyFont="1" applyFill="1" applyBorder="1" applyAlignment="1" applyProtection="1">
      <alignment horizontal="right" vertical="center"/>
    </xf>
    <xf numFmtId="2" fontId="2" fillId="3" borderId="1" xfId="0" applyNumberFormat="1" applyFont="1" applyFill="1" applyBorder="1" applyAlignment="1" applyProtection="1">
      <alignment horizontal="right" vertical="center"/>
    </xf>
    <xf numFmtId="2" fontId="2" fillId="4" borderId="1" xfId="0" applyNumberFormat="1" applyFont="1" applyFill="1" applyBorder="1" applyAlignment="1" applyProtection="1">
      <alignment horizontal="right" vertical="center"/>
    </xf>
    <xf numFmtId="2" fontId="2" fillId="5" borderId="1" xfId="0" applyNumberFormat="1" applyFont="1" applyFill="1" applyBorder="1" applyAlignment="1" applyProtection="1">
      <alignment horizontal="right" vertical="center"/>
    </xf>
    <xf numFmtId="2" fontId="2" fillId="6" borderId="1" xfId="0" applyNumberFormat="1" applyFont="1" applyFill="1" applyBorder="1" applyAlignment="1" applyProtection="1">
      <alignment horizontal="right" vertical="center"/>
    </xf>
    <xf numFmtId="2" fontId="2" fillId="7" borderId="1" xfId="0" applyNumberFormat="1" applyFont="1" applyFill="1" applyBorder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4" fontId="7" fillId="0" borderId="0" xfId="0" applyNumberFormat="1" applyFont="1" applyAlignment="1" applyProtection="1">
      <alignment vertical="center"/>
    </xf>
    <xf numFmtId="0" fontId="2" fillId="0" borderId="0" xfId="0" applyFont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3" fontId="4" fillId="0" borderId="1" xfId="0" applyNumberFormat="1" applyFont="1" applyFill="1" applyBorder="1" applyAlignment="1" applyProtection="1">
      <alignment horizontal="right" vertical="center"/>
    </xf>
    <xf numFmtId="165" fontId="13" fillId="0" borderId="0" xfId="0" applyNumberFormat="1" applyFont="1"/>
    <xf numFmtId="165" fontId="10" fillId="0" borderId="0" xfId="0" applyNumberFormat="1" applyFont="1"/>
    <xf numFmtId="0" fontId="0" fillId="22" borderId="0" xfId="0" applyFill="1"/>
    <xf numFmtId="0" fontId="22" fillId="22" borderId="0" xfId="0" applyFont="1" applyFill="1" applyAlignment="1"/>
    <xf numFmtId="0" fontId="38" fillId="22" borderId="1" xfId="0" applyFont="1" applyFill="1" applyBorder="1" applyAlignment="1">
      <alignment horizontal="center" vertical="justify"/>
    </xf>
    <xf numFmtId="49" fontId="38" fillId="22" borderId="1" xfId="0" applyNumberFormat="1" applyFont="1" applyFill="1" applyBorder="1" applyAlignment="1">
      <alignment horizontal="center" vertical="justify"/>
    </xf>
    <xf numFmtId="0" fontId="39" fillId="22" borderId="1" xfId="0" applyFont="1" applyFill="1" applyBorder="1" applyAlignment="1">
      <alignment horizontal="center" vertical="center"/>
    </xf>
    <xf numFmtId="164" fontId="38" fillId="22" borderId="1" xfId="0" applyNumberFormat="1" applyFont="1" applyFill="1" applyBorder="1" applyAlignment="1">
      <alignment horizontal="center" vertical="center"/>
    </xf>
    <xf numFmtId="0" fontId="38" fillId="22" borderId="1" xfId="0" applyFont="1" applyFill="1" applyBorder="1" applyAlignment="1">
      <alignment horizontal="center" vertical="center"/>
    </xf>
    <xf numFmtId="0" fontId="0" fillId="23" borderId="0" xfId="0" applyFill="1"/>
    <xf numFmtId="0" fontId="22" fillId="23" borderId="0" xfId="0" applyFont="1" applyFill="1" applyAlignment="1"/>
    <xf numFmtId="0" fontId="6" fillId="23" borderId="0" xfId="0" applyFont="1" applyFill="1" applyAlignment="1"/>
    <xf numFmtId="0" fontId="0" fillId="23" borderId="0" xfId="0" applyFill="1" applyAlignment="1"/>
    <xf numFmtId="164" fontId="39" fillId="23" borderId="1" xfId="0" applyNumberFormat="1" applyFont="1" applyFill="1" applyBorder="1" applyAlignment="1">
      <alignment horizontal="left" vertical="center"/>
    </xf>
    <xf numFmtId="164" fontId="38" fillId="23" borderId="1" xfId="0" applyNumberFormat="1" applyFont="1" applyFill="1" applyBorder="1" applyAlignment="1">
      <alignment vertical="center"/>
    </xf>
    <xf numFmtId="164" fontId="39" fillId="23" borderId="1" xfId="0" applyNumberFormat="1" applyFont="1" applyFill="1" applyBorder="1" applyAlignment="1">
      <alignment horizontal="right" vertical="center"/>
    </xf>
    <xf numFmtId="164" fontId="38" fillId="23" borderId="1" xfId="0" applyNumberFormat="1" applyFont="1" applyFill="1" applyBorder="1" applyAlignment="1">
      <alignment horizontal="left" vertical="center"/>
    </xf>
    <xf numFmtId="0" fontId="23" fillId="23" borderId="0" xfId="0" applyFont="1" applyFill="1" applyAlignment="1"/>
    <xf numFmtId="164" fontId="38" fillId="23" borderId="1" xfId="0" applyNumberFormat="1" applyFont="1" applyFill="1" applyBorder="1" applyAlignment="1">
      <alignment horizontal="right" vertical="center"/>
    </xf>
    <xf numFmtId="0" fontId="24" fillId="23" borderId="3" xfId="0" applyFont="1" applyFill="1" applyBorder="1" applyAlignment="1">
      <alignment vertical="center" wrapText="1"/>
    </xf>
    <xf numFmtId="0" fontId="0" fillId="23" borderId="3" xfId="0" applyFill="1" applyBorder="1" applyAlignment="1"/>
    <xf numFmtId="0" fontId="38" fillId="23" borderId="0" xfId="0" applyFont="1" applyFill="1" applyAlignment="1"/>
    <xf numFmtId="0" fontId="39" fillId="23" borderId="0" xfId="0" applyFont="1" applyFill="1" applyAlignment="1"/>
    <xf numFmtId="0" fontId="22" fillId="23" borderId="0" xfId="0" applyFont="1" applyFill="1" applyAlignment="1">
      <alignment horizontal="left"/>
    </xf>
    <xf numFmtId="0" fontId="38" fillId="23" borderId="0" xfId="0" applyFont="1" applyFill="1" applyAlignment="1">
      <alignment horizontal="left"/>
    </xf>
    <xf numFmtId="0" fontId="39" fillId="23" borderId="0" xfId="0" applyFont="1" applyFill="1" applyAlignment="1">
      <alignment horizontal="left"/>
    </xf>
    <xf numFmtId="0" fontId="22" fillId="23" borderId="0" xfId="0" applyFont="1" applyFill="1"/>
    <xf numFmtId="0" fontId="32" fillId="19" borderId="0" xfId="0" applyFont="1" applyFill="1"/>
    <xf numFmtId="0" fontId="39" fillId="23" borderId="0" xfId="0" applyFont="1" applyFill="1"/>
    <xf numFmtId="0" fontId="40" fillId="18" borderId="18" xfId="0" applyFont="1" applyFill="1" applyBorder="1"/>
    <xf numFmtId="0" fontId="40" fillId="13" borderId="17" xfId="0" applyFont="1" applyFill="1" applyBorder="1"/>
    <xf numFmtId="0" fontId="40" fillId="21" borderId="18" xfId="0" applyFont="1" applyFill="1" applyBorder="1"/>
    <xf numFmtId="0" fontId="40" fillId="14" borderId="19" xfId="0" applyFont="1" applyFill="1" applyBorder="1"/>
    <xf numFmtId="0" fontId="40" fillId="0" borderId="0" xfId="0" applyFont="1"/>
    <xf numFmtId="0" fontId="40" fillId="0" borderId="22" xfId="0" applyFont="1" applyBorder="1" applyAlignment="1">
      <alignment horizontal="center" vertical="center" wrapText="1"/>
    </xf>
    <xf numFmtId="0" fontId="40" fillId="0" borderId="22" xfId="0" applyFont="1" applyBorder="1" applyAlignment="1">
      <alignment horizontal="center"/>
    </xf>
    <xf numFmtId="0" fontId="40" fillId="0" borderId="20" xfId="0" applyFont="1" applyBorder="1" applyAlignment="1">
      <alignment horizontal="center" vertical="center" wrapText="1"/>
    </xf>
    <xf numFmtId="0" fontId="40" fillId="0" borderId="20" xfId="0" applyFont="1" applyBorder="1" applyAlignment="1">
      <alignment horizontal="center"/>
    </xf>
    <xf numFmtId="0" fontId="40" fillId="0" borderId="21" xfId="0" applyFont="1" applyBorder="1" applyAlignment="1">
      <alignment horizontal="center" vertical="center" wrapText="1"/>
    </xf>
    <xf numFmtId="0" fontId="40" fillId="0" borderId="21" xfId="0" applyFont="1" applyBorder="1" applyAlignment="1">
      <alignment horizontal="center"/>
    </xf>
    <xf numFmtId="0" fontId="39" fillId="0" borderId="1" xfId="0" applyFont="1" applyBorder="1"/>
    <xf numFmtId="0" fontId="39" fillId="0" borderId="1" xfId="0" applyFont="1" applyBorder="1" applyAlignment="1">
      <alignment horizontal="center"/>
    </xf>
    <xf numFmtId="164" fontId="4" fillId="17" borderId="1" xfId="0" applyNumberFormat="1" applyFont="1" applyFill="1" applyBorder="1" applyAlignment="1" applyProtection="1">
      <alignment horizontal="right" vertical="center"/>
    </xf>
    <xf numFmtId="0" fontId="8" fillId="24" borderId="0" xfId="0" applyFont="1" applyFill="1" applyAlignment="1">
      <alignment horizontal="center" vertical="center"/>
    </xf>
    <xf numFmtId="0" fontId="20" fillId="24" borderId="0" xfId="0" applyFont="1" applyFill="1" applyAlignment="1">
      <alignment vertical="center"/>
    </xf>
    <xf numFmtId="164" fontId="44" fillId="0" borderId="0" xfId="1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left" vertical="center"/>
    </xf>
    <xf numFmtId="164" fontId="20" fillId="0" borderId="0" xfId="0" applyNumberFormat="1" applyFont="1" applyFill="1" applyAlignment="1">
      <alignment horizontal="center" vertical="center"/>
    </xf>
    <xf numFmtId="0" fontId="20" fillId="24" borderId="0" xfId="0" applyFont="1" applyFill="1" applyAlignment="1">
      <alignment horizontal="left" vertical="center"/>
    </xf>
    <xf numFmtId="164" fontId="20" fillId="24" borderId="0" xfId="0" applyNumberFormat="1" applyFont="1" applyFill="1" applyAlignment="1">
      <alignment horizontal="center" vertical="center"/>
    </xf>
    <xf numFmtId="0" fontId="44" fillId="24" borderId="0" xfId="1" applyFont="1" applyFill="1" applyBorder="1" applyAlignment="1">
      <alignment horizontal="center" vertical="center"/>
    </xf>
    <xf numFmtId="164" fontId="44" fillId="24" borderId="0" xfId="1" applyNumberFormat="1" applyFont="1" applyFill="1" applyBorder="1" applyAlignment="1">
      <alignment horizontal="center" vertical="center"/>
    </xf>
    <xf numFmtId="0" fontId="8" fillId="24" borderId="0" xfId="0" applyFont="1" applyFill="1" applyAlignment="1">
      <alignment horizontal="left" vertical="center"/>
    </xf>
    <xf numFmtId="164" fontId="8" fillId="24" borderId="0" xfId="0" applyNumberFormat="1" applyFont="1" applyFill="1" applyAlignment="1">
      <alignment horizontal="center" vertical="center"/>
    </xf>
    <xf numFmtId="0" fontId="43" fillId="0" borderId="0" xfId="0" applyFont="1" applyFill="1" applyAlignment="1">
      <alignment horizontal="center" vertical="justify" textRotation="90"/>
    </xf>
    <xf numFmtId="164" fontId="2" fillId="0" borderId="0" xfId="0" applyNumberFormat="1" applyFont="1" applyAlignment="1"/>
    <xf numFmtId="164" fontId="36" fillId="8" borderId="1" xfId="0" applyNumberFormat="1" applyFont="1" applyFill="1" applyBorder="1" applyAlignment="1" applyProtection="1">
      <alignment horizontal="right" vertical="center"/>
    </xf>
    <xf numFmtId="164" fontId="6" fillId="0" borderId="0" xfId="0" applyNumberFormat="1" applyFont="1" applyFill="1"/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46" fillId="0" borderId="0" xfId="0" applyFont="1" applyAlignment="1">
      <alignment vertical="center"/>
    </xf>
    <xf numFmtId="1" fontId="2" fillId="20" borderId="1" xfId="0" applyNumberFormat="1" applyFont="1" applyFill="1" applyBorder="1" applyAlignment="1" applyProtection="1">
      <alignment horizontal="right" vertical="center"/>
    </xf>
    <xf numFmtId="0" fontId="4" fillId="2" borderId="1" xfId="0" applyFont="1" applyFill="1" applyBorder="1" applyAlignment="1" applyProtection="1">
      <alignment horizontal="right" vertical="center"/>
    </xf>
    <xf numFmtId="1" fontId="2" fillId="10" borderId="1" xfId="0" applyNumberFormat="1" applyFont="1" applyFill="1" applyBorder="1" applyAlignment="1" applyProtection="1">
      <alignment horizontal="right" vertical="center"/>
    </xf>
    <xf numFmtId="0" fontId="48" fillId="23" borderId="1" xfId="0" applyFont="1" applyFill="1" applyBorder="1" applyAlignment="1">
      <alignment horizontal="center" vertical="center"/>
    </xf>
    <xf numFmtId="49" fontId="38" fillId="25" borderId="16" xfId="0" applyNumberFormat="1" applyFont="1" applyFill="1" applyBorder="1" applyAlignment="1">
      <alignment horizontal="center" vertical="justify"/>
    </xf>
    <xf numFmtId="49" fontId="38" fillId="25" borderId="16" xfId="0" applyNumberFormat="1" applyFont="1" applyFill="1" applyBorder="1" applyAlignment="1">
      <alignment horizontal="center" vertical="center"/>
    </xf>
    <xf numFmtId="49" fontId="38" fillId="25" borderId="23" xfId="0" applyNumberFormat="1" applyFont="1" applyFill="1" applyBorder="1" applyAlignment="1">
      <alignment horizontal="center" vertical="justify"/>
    </xf>
    <xf numFmtId="0" fontId="0" fillId="26" borderId="0" xfId="0" applyFill="1"/>
    <xf numFmtId="0" fontId="0" fillId="25" borderId="0" xfId="0" applyFill="1"/>
    <xf numFmtId="0" fontId="35" fillId="0" borderId="43" xfId="0" applyFont="1" applyBorder="1" applyAlignment="1">
      <alignment vertical="center"/>
    </xf>
    <xf numFmtId="49" fontId="50" fillId="28" borderId="16" xfId="2" applyNumberFormat="1" applyFont="1" applyFill="1" applyBorder="1" applyAlignment="1" applyProtection="1">
      <alignment horizontal="center" vertical="center"/>
      <protection locked="0"/>
    </xf>
    <xf numFmtId="0" fontId="1" fillId="0" borderId="0" xfId="2"/>
    <xf numFmtId="0" fontId="50" fillId="21" borderId="23" xfId="2" applyFont="1" applyFill="1" applyBorder="1" applyAlignment="1" applyProtection="1">
      <alignment horizontal="center" vertical="center" wrapText="1"/>
    </xf>
    <xf numFmtId="0" fontId="50" fillId="21" borderId="1" xfId="2" applyFont="1" applyFill="1" applyBorder="1" applyAlignment="1" applyProtection="1">
      <alignment horizontal="center" vertical="center" wrapText="1"/>
    </xf>
    <xf numFmtId="0" fontId="50" fillId="28" borderId="1" xfId="2" applyFont="1" applyFill="1" applyBorder="1" applyAlignment="1" applyProtection="1">
      <alignment horizontal="center" vertical="center" wrapText="1"/>
    </xf>
    <xf numFmtId="0" fontId="51" fillId="27" borderId="1" xfId="2" applyNumberFormat="1" applyFont="1" applyFill="1" applyBorder="1" applyAlignment="1"/>
    <xf numFmtId="164" fontId="2" fillId="29" borderId="1" xfId="2" applyNumberFormat="1" applyFont="1" applyFill="1" applyBorder="1" applyAlignment="1" applyProtection="1">
      <alignment horizontal="right" vertical="center"/>
      <protection locked="0"/>
    </xf>
    <xf numFmtId="0" fontId="49" fillId="27" borderId="44" xfId="2" applyNumberFormat="1" applyFont="1" applyFill="1" applyBorder="1" applyAlignment="1">
      <alignment vertical="center"/>
    </xf>
    <xf numFmtId="0" fontId="52" fillId="0" borderId="0" xfId="2" applyFont="1"/>
    <xf numFmtId="0" fontId="49" fillId="27" borderId="43" xfId="2" applyNumberFormat="1" applyFont="1" applyFill="1" applyBorder="1" applyAlignment="1">
      <alignment vertical="center"/>
    </xf>
    <xf numFmtId="164" fontId="4" fillId="30" borderId="1" xfId="0" applyNumberFormat="1" applyFont="1" applyFill="1" applyBorder="1" applyAlignment="1" applyProtection="1">
      <alignment horizontal="right" vertical="center"/>
    </xf>
    <xf numFmtId="3" fontId="2" fillId="31" borderId="1" xfId="2" applyNumberFormat="1" applyFont="1" applyFill="1" applyBorder="1" applyAlignment="1" applyProtection="1">
      <alignment horizontal="right" vertical="center"/>
      <protection locked="0"/>
    </xf>
    <xf numFmtId="0" fontId="50" fillId="28" borderId="24" xfId="2" applyFont="1" applyFill="1" applyBorder="1" applyAlignment="1" applyProtection="1">
      <alignment horizontal="center" vertical="center" wrapText="1"/>
    </xf>
    <xf numFmtId="0" fontId="50" fillId="28" borderId="23" xfId="2" applyFont="1" applyFill="1" applyBorder="1" applyAlignment="1" applyProtection="1">
      <alignment horizontal="center" vertical="center" wrapText="1"/>
    </xf>
    <xf numFmtId="0" fontId="49" fillId="27" borderId="1" xfId="2" applyNumberFormat="1" applyFont="1" applyFill="1" applyBorder="1" applyAlignment="1">
      <alignment horizontal="center" vertical="center"/>
    </xf>
    <xf numFmtId="49" fontId="50" fillId="21" borderId="16" xfId="2" applyNumberFormat="1" applyFont="1" applyFill="1" applyBorder="1" applyAlignment="1" applyProtection="1">
      <alignment horizontal="center" vertical="center"/>
      <protection locked="0"/>
    </xf>
    <xf numFmtId="49" fontId="50" fillId="21" borderId="23" xfId="2" applyNumberFormat="1" applyFont="1" applyFill="1" applyBorder="1" applyAlignment="1" applyProtection="1">
      <alignment horizontal="center" vertical="center"/>
      <protection locked="0"/>
    </xf>
    <xf numFmtId="49" fontId="50" fillId="28" borderId="24" xfId="2" applyNumberFormat="1" applyFont="1" applyFill="1" applyBorder="1" applyAlignment="1" applyProtection="1">
      <alignment horizontal="center" vertical="center"/>
      <protection locked="0"/>
    </xf>
    <xf numFmtId="49" fontId="50" fillId="28" borderId="16" xfId="2" applyNumberFormat="1" applyFont="1" applyFill="1" applyBorder="1" applyAlignment="1" applyProtection="1">
      <alignment horizontal="center" vertical="center"/>
      <protection locked="0"/>
    </xf>
    <xf numFmtId="49" fontId="50" fillId="28" borderId="23" xfId="2" applyNumberFormat="1" applyFont="1" applyFill="1" applyBorder="1" applyAlignment="1" applyProtection="1">
      <alignment horizontal="center" vertical="center"/>
      <protection locked="0"/>
    </xf>
    <xf numFmtId="0" fontId="50" fillId="21" borderId="16" xfId="2" applyFont="1" applyFill="1" applyBorder="1" applyAlignment="1" applyProtection="1">
      <alignment horizontal="center" vertical="center" wrapText="1"/>
    </xf>
    <xf numFmtId="0" fontId="50" fillId="21" borderId="23" xfId="2" applyFont="1" applyFill="1" applyBorder="1" applyAlignment="1" applyProtection="1">
      <alignment horizontal="center" vertical="center" wrapText="1"/>
    </xf>
    <xf numFmtId="0" fontId="50" fillId="21" borderId="24" xfId="2" applyFont="1" applyFill="1" applyBorder="1" applyAlignment="1" applyProtection="1">
      <alignment horizontal="center" vertical="center" wrapText="1"/>
    </xf>
    <xf numFmtId="0" fontId="8" fillId="0" borderId="0" xfId="2" applyFont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53" fillId="0" borderId="0" xfId="0" applyFont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/>
    </xf>
    <xf numFmtId="0" fontId="34" fillId="21" borderId="16" xfId="0" applyFont="1" applyFill="1" applyBorder="1" applyAlignment="1" applyProtection="1">
      <alignment horizontal="center" vertical="center"/>
      <protection locked="0"/>
    </xf>
    <xf numFmtId="0" fontId="34" fillId="21" borderId="23" xfId="0" applyFont="1" applyFill="1" applyBorder="1" applyAlignment="1" applyProtection="1">
      <alignment horizontal="center" vertical="center"/>
      <protection locked="0"/>
    </xf>
    <xf numFmtId="0" fontId="34" fillId="18" borderId="42" xfId="0" applyFont="1" applyFill="1" applyBorder="1" applyAlignment="1" applyProtection="1">
      <alignment horizontal="center" vertical="center"/>
      <protection locked="0"/>
    </xf>
    <xf numFmtId="0" fontId="34" fillId="18" borderId="2" xfId="0" applyFont="1" applyFill="1" applyBorder="1" applyAlignment="1" applyProtection="1">
      <alignment horizontal="center" vertical="center"/>
      <protection locked="0"/>
    </xf>
    <xf numFmtId="0" fontId="41" fillId="0" borderId="25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43" fillId="0" borderId="0" xfId="0" applyFont="1" applyFill="1" applyAlignment="1">
      <alignment horizontal="center" vertical="justify" textRotation="90"/>
    </xf>
    <xf numFmtId="0" fontId="41" fillId="0" borderId="27" xfId="0" applyFont="1" applyBorder="1" applyAlignment="1" applyProtection="1">
      <alignment horizontal="center" vertical="center" wrapText="1"/>
    </xf>
    <xf numFmtId="0" fontId="41" fillId="0" borderId="28" xfId="0" applyFont="1" applyBorder="1" applyAlignment="1" applyProtection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41" fillId="0" borderId="37" xfId="0" applyFont="1" applyBorder="1" applyAlignment="1" applyProtection="1">
      <alignment horizontal="center" vertical="center" wrapText="1"/>
    </xf>
    <xf numFmtId="0" fontId="41" fillId="0" borderId="38" xfId="0" applyFont="1" applyBorder="1" applyAlignment="1" applyProtection="1">
      <alignment horizontal="center" vertical="center" wrapText="1"/>
    </xf>
    <xf numFmtId="0" fontId="41" fillId="0" borderId="39" xfId="0" applyFont="1" applyBorder="1" applyAlignment="1" applyProtection="1">
      <alignment horizontal="center" vertical="center" wrapText="1"/>
    </xf>
    <xf numFmtId="0" fontId="41" fillId="0" borderId="40" xfId="0" applyFont="1" applyBorder="1" applyAlignment="1" applyProtection="1">
      <alignment horizontal="center" vertical="center" wrapText="1"/>
    </xf>
    <xf numFmtId="0" fontId="40" fillId="0" borderId="29" xfId="0" applyFont="1" applyBorder="1" applyAlignment="1" applyProtection="1">
      <alignment horizontal="center" vertical="center" wrapText="1"/>
    </xf>
    <xf numFmtId="0" fontId="40" fillId="0" borderId="30" xfId="0" applyFont="1" applyBorder="1" applyAlignment="1" applyProtection="1">
      <alignment horizontal="center" vertical="center" wrapText="1"/>
    </xf>
    <xf numFmtId="0" fontId="40" fillId="0" borderId="31" xfId="0" applyFont="1" applyBorder="1" applyAlignment="1" applyProtection="1">
      <alignment horizontal="center" vertical="center" wrapText="1"/>
    </xf>
    <xf numFmtId="0" fontId="40" fillId="0" borderId="32" xfId="0" applyFont="1" applyBorder="1" applyAlignment="1" applyProtection="1">
      <alignment horizontal="center" vertical="center" wrapText="1"/>
    </xf>
    <xf numFmtId="0" fontId="40" fillId="0" borderId="29" xfId="0" applyFont="1" applyBorder="1" applyAlignment="1">
      <alignment horizontal="center"/>
    </xf>
    <xf numFmtId="0" fontId="40" fillId="0" borderId="30" xfId="0" applyFont="1" applyBorder="1" applyAlignment="1">
      <alignment horizontal="center"/>
    </xf>
    <xf numFmtId="0" fontId="40" fillId="13" borderId="29" xfId="0" applyFont="1" applyFill="1" applyBorder="1" applyAlignment="1" applyProtection="1">
      <alignment horizontal="center"/>
    </xf>
    <xf numFmtId="0" fontId="40" fillId="13" borderId="30" xfId="0" applyFont="1" applyFill="1" applyBorder="1" applyAlignment="1" applyProtection="1">
      <alignment horizontal="center"/>
    </xf>
    <xf numFmtId="0" fontId="40" fillId="8" borderId="29" xfId="0" applyFont="1" applyFill="1" applyBorder="1" applyAlignment="1" applyProtection="1">
      <alignment horizontal="center"/>
    </xf>
    <xf numFmtId="0" fontId="40" fillId="8" borderId="30" xfId="0" applyFont="1" applyFill="1" applyBorder="1" applyAlignment="1" applyProtection="1">
      <alignment horizontal="center"/>
    </xf>
    <xf numFmtId="0" fontId="40" fillId="14" borderId="31" xfId="0" applyFont="1" applyFill="1" applyBorder="1" applyAlignment="1" applyProtection="1">
      <alignment horizontal="center"/>
    </xf>
    <xf numFmtId="0" fontId="40" fillId="14" borderId="32" xfId="0" applyFont="1" applyFill="1" applyBorder="1" applyAlignment="1" applyProtection="1">
      <alignment horizontal="center"/>
    </xf>
    <xf numFmtId="0" fontId="40" fillId="0" borderId="31" xfId="0" applyFont="1" applyBorder="1" applyAlignment="1">
      <alignment horizontal="center"/>
    </xf>
    <xf numFmtId="0" fontId="40" fillId="0" borderId="32" xfId="0" applyFont="1" applyBorder="1" applyAlignment="1">
      <alignment horizontal="center"/>
    </xf>
    <xf numFmtId="0" fontId="41" fillId="0" borderId="33" xfId="0" applyFont="1" applyBorder="1" applyAlignment="1" applyProtection="1">
      <alignment horizontal="center" vertical="center" wrapText="1"/>
    </xf>
    <xf numFmtId="0" fontId="41" fillId="0" borderId="34" xfId="0" applyFont="1" applyBorder="1" applyAlignment="1" applyProtection="1">
      <alignment horizontal="center" vertical="center" wrapText="1"/>
    </xf>
    <xf numFmtId="0" fontId="41" fillId="0" borderId="29" xfId="0" applyFont="1" applyBorder="1" applyAlignment="1" applyProtection="1">
      <alignment horizontal="center" vertical="center" wrapText="1"/>
    </xf>
    <xf numFmtId="0" fontId="41" fillId="0" borderId="30" xfId="0" applyFont="1" applyBorder="1" applyAlignment="1" applyProtection="1">
      <alignment horizontal="center" vertical="center" wrapText="1"/>
    </xf>
    <xf numFmtId="0" fontId="41" fillId="0" borderId="35" xfId="0" applyFont="1" applyBorder="1" applyAlignment="1" applyProtection="1">
      <alignment horizontal="center" vertical="center" wrapText="1"/>
    </xf>
    <xf numFmtId="0" fontId="41" fillId="0" borderId="36" xfId="0" applyFont="1" applyBorder="1" applyAlignment="1" applyProtection="1">
      <alignment horizontal="center" vertical="center" wrapText="1"/>
    </xf>
    <xf numFmtId="0" fontId="41" fillId="0" borderId="23" xfId="0" applyFont="1" applyBorder="1" applyAlignment="1" applyProtection="1">
      <alignment horizontal="center" vertical="center" wrapText="1"/>
    </xf>
    <xf numFmtId="0" fontId="41" fillId="0" borderId="24" xfId="0" applyFont="1" applyBorder="1" applyAlignment="1" applyProtection="1">
      <alignment horizontal="center" vertical="center" wrapText="1"/>
    </xf>
    <xf numFmtId="0" fontId="40" fillId="12" borderId="29" xfId="0" applyFont="1" applyFill="1" applyBorder="1" applyAlignment="1" applyProtection="1">
      <alignment horizontal="center"/>
    </xf>
    <xf numFmtId="0" fontId="40" fillId="12" borderId="30" xfId="0" applyFont="1" applyFill="1" applyBorder="1" applyAlignment="1" applyProtection="1">
      <alignment horizontal="center"/>
    </xf>
    <xf numFmtId="0" fontId="38" fillId="23" borderId="0" xfId="0" applyFont="1" applyFill="1" applyAlignment="1">
      <alignment horizontal="left"/>
    </xf>
    <xf numFmtId="0" fontId="39" fillId="23" borderId="0" xfId="0" applyFont="1" applyFill="1" applyAlignment="1">
      <alignment horizontal="left"/>
    </xf>
    <xf numFmtId="0" fontId="12" fillId="23" borderId="0" xfId="0" applyFont="1" applyFill="1" applyAlignment="1">
      <alignment horizontal="center" vertical="center" wrapText="1"/>
    </xf>
    <xf numFmtId="0" fontId="39" fillId="25" borderId="24" xfId="0" applyFont="1" applyFill="1" applyBorder="1" applyAlignment="1">
      <alignment horizontal="center" vertical="center"/>
    </xf>
    <xf numFmtId="0" fontId="39" fillId="25" borderId="16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30" fillId="0" borderId="0" xfId="0" applyFont="1" applyAlignment="1">
      <alignment horizontal="center"/>
    </xf>
    <xf numFmtId="0" fontId="47" fillId="0" borderId="0" xfId="0" applyFont="1" applyAlignment="1">
      <alignment horizontal="center"/>
    </xf>
    <xf numFmtId="0" fontId="31" fillId="0" borderId="0" xfId="0" applyFont="1" applyAlignment="1">
      <alignment horizontal="left" vertical="center"/>
    </xf>
  </cellXfs>
  <cellStyles count="3">
    <cellStyle name="Normal" xfId="0" builtinId="0"/>
    <cellStyle name="Normal 2" xfId="2"/>
    <cellStyle name="Título" xfId="1" builtinId="15"/>
  </cellStyles>
  <dxfs count="0"/>
  <tableStyles count="0" defaultTableStyle="TableStyleMedium9" defaultPivotStyle="PivotStyleLight16"/>
  <colors>
    <mruColors>
      <color rgb="FFFFFFCC"/>
      <color rgb="FFFFFFF3"/>
      <color rgb="FFFFFFE1"/>
      <color rgb="FFE9FFBD"/>
      <color rgb="FFF1FFD5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0"/>
      <c:hPercent val="5"/>
      <c:rotY val="0"/>
      <c:depthPercent val="1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sideWall>
    <c:backWall>
      <c:thickness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33"/>
              <c:pt idx="1">
                <c:v>NAY</c:v>
              </c:pt>
              <c:pt idx="2">
                <c:v>VER</c:v>
              </c:pt>
              <c:pt idx="3">
                <c:v>MICH</c:v>
              </c:pt>
              <c:pt idx="4">
                <c:v>TLAX</c:v>
              </c:pt>
              <c:pt idx="5">
                <c:v>CAM</c:v>
              </c:pt>
              <c:pt idx="6">
                <c:v>HGO</c:v>
              </c:pt>
              <c:pt idx="7">
                <c:v>YUC</c:v>
              </c:pt>
              <c:pt idx="8">
                <c:v>SLP</c:v>
              </c:pt>
              <c:pt idx="9">
                <c:v>TAB</c:v>
              </c:pt>
              <c:pt idx="10">
                <c:v>JAL</c:v>
              </c:pt>
              <c:pt idx="11">
                <c:v>DF</c:v>
              </c:pt>
              <c:pt idx="12">
                <c:v>COL</c:v>
              </c:pt>
              <c:pt idx="13">
                <c:v>BC</c:v>
              </c:pt>
              <c:pt idx="14">
                <c:v>ZAC</c:v>
              </c:pt>
              <c:pt idx="15">
                <c:v>QRO</c:v>
              </c:pt>
              <c:pt idx="16">
                <c:v>SIN</c:v>
              </c:pt>
              <c:pt idx="17">
                <c:v>COAH</c:v>
              </c:pt>
              <c:pt idx="18">
                <c:v>DGO</c:v>
              </c:pt>
              <c:pt idx="19">
                <c:v>NL</c:v>
              </c:pt>
              <c:pt idx="20">
                <c:v>GTO</c:v>
              </c:pt>
              <c:pt idx="21">
                <c:v>TAMP</c:v>
              </c:pt>
              <c:pt idx="22">
                <c:v>PUE</c:v>
              </c:pt>
              <c:pt idx="23">
                <c:v>CHIH</c:v>
              </c:pt>
              <c:pt idx="24">
                <c:v>QROO</c:v>
              </c:pt>
              <c:pt idx="25">
                <c:v>SON</c:v>
              </c:pt>
              <c:pt idx="26">
                <c:v>MOR</c:v>
              </c:pt>
              <c:pt idx="27">
                <c:v>OAX</c:v>
              </c:pt>
              <c:pt idx="28">
                <c:v>MEX</c:v>
              </c:pt>
              <c:pt idx="29">
                <c:v>GRO</c:v>
              </c:pt>
              <c:pt idx="30">
                <c:v>AGS</c:v>
              </c:pt>
              <c:pt idx="31">
                <c:v>BCS</c:v>
              </c:pt>
              <c:pt idx="32">
                <c:v>CHIS</c:v>
              </c:pt>
            </c:strLit>
          </c:cat>
          <c:val>
            <c:numLit>
              <c:formatCode>General</c:formatCode>
              <c:ptCount val="33"/>
              <c:pt idx="0">
                <c:v>2002</c:v>
              </c:pt>
              <c:pt idx="1">
                <c:v>93.19592064530535</c:v>
              </c:pt>
              <c:pt idx="2">
                <c:v>91.399354153729774</c:v>
              </c:pt>
              <c:pt idx="3">
                <c:v>89.950363104612492</c:v>
              </c:pt>
              <c:pt idx="4">
                <c:v>88.379393894101455</c:v>
              </c:pt>
              <c:pt idx="5">
                <c:v>87.102526881094249</c:v>
              </c:pt>
              <c:pt idx="6">
                <c:v>84.128063310699147</c:v>
              </c:pt>
              <c:pt idx="7">
                <c:v>83.796882066595018</c:v>
              </c:pt>
              <c:pt idx="8">
                <c:v>83.414120361951589</c:v>
              </c:pt>
              <c:pt idx="9">
                <c:v>83.38267969397171</c:v>
              </c:pt>
              <c:pt idx="10">
                <c:v>83.208582086466407</c:v>
              </c:pt>
              <c:pt idx="11">
                <c:v>82.748009849434808</c:v>
              </c:pt>
              <c:pt idx="12">
                <c:v>81.212492936429996</c:v>
              </c:pt>
              <c:pt idx="13">
                <c:v>81.150900225536219</c:v>
              </c:pt>
              <c:pt idx="14">
                <c:v>80.922076178825904</c:v>
              </c:pt>
              <c:pt idx="15">
                <c:v>80.856730306133443</c:v>
              </c:pt>
              <c:pt idx="16">
                <c:v>79.341977665300135</c:v>
              </c:pt>
              <c:pt idx="17">
                <c:v>78.356689539324748</c:v>
              </c:pt>
              <c:pt idx="18">
                <c:v>78.152150195484026</c:v>
              </c:pt>
              <c:pt idx="19">
                <c:v>77.457344184175597</c:v>
              </c:pt>
              <c:pt idx="20">
                <c:v>76.790189078797027</c:v>
              </c:pt>
              <c:pt idx="21">
                <c:v>76.155042968572388</c:v>
              </c:pt>
              <c:pt idx="22">
                <c:v>74.67923958120339</c:v>
              </c:pt>
              <c:pt idx="23">
                <c:v>74.527105906585348</c:v>
              </c:pt>
              <c:pt idx="24">
                <c:v>73.695257419611139</c:v>
              </c:pt>
              <c:pt idx="25">
                <c:v>73.353091362941143</c:v>
              </c:pt>
              <c:pt idx="26">
                <c:v>71.011127926315979</c:v>
              </c:pt>
              <c:pt idx="27">
                <c:v>70.229566560180132</c:v>
              </c:pt>
              <c:pt idx="28">
                <c:v>69.791480770690612</c:v>
              </c:pt>
              <c:pt idx="29">
                <c:v>69.698756604858559</c:v>
              </c:pt>
              <c:pt idx="30">
                <c:v>66.527156248479571</c:v>
              </c:pt>
              <c:pt idx="31">
                <c:v>65.736026071608066</c:v>
              </c:pt>
              <c:pt idx="32">
                <c:v>62.749346096807436</c:v>
              </c:pt>
            </c:numLit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shape val="cylinder"/>
        <c:axId val="109892096"/>
        <c:axId val="107309312"/>
        <c:axId val="0"/>
      </c:bar3DChart>
      <c:catAx>
        <c:axId val="109892096"/>
        <c:scaling>
          <c:orientation val="maxMin"/>
        </c:scaling>
        <c:delete val="1"/>
        <c:axPos val="l"/>
        <c:majorTickMark val="out"/>
        <c:minorTickMark val="none"/>
        <c:tickLblPos val="none"/>
        <c:crossAx val="107309312"/>
        <c:crosses val="autoZero"/>
        <c:auto val="1"/>
        <c:lblAlgn val="ctr"/>
        <c:lblOffset val="100"/>
        <c:noMultiLvlLbl val="0"/>
      </c:catAx>
      <c:valAx>
        <c:axId val="107309312"/>
        <c:scaling>
          <c:orientation val="minMax"/>
          <c:max val="100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09892096"/>
        <c:crosses val="max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0"/>
      <c:hPercent val="5"/>
      <c:rotY val="0"/>
      <c:depthPercent val="1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sideWall>
    <c:backWall>
      <c:thickness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33"/>
              <c:pt idx="1">
                <c:v>NAY</c:v>
              </c:pt>
              <c:pt idx="2">
                <c:v>VER</c:v>
              </c:pt>
              <c:pt idx="3">
                <c:v>MICH</c:v>
              </c:pt>
              <c:pt idx="4">
                <c:v>TLAX</c:v>
              </c:pt>
              <c:pt idx="5">
                <c:v>CAM</c:v>
              </c:pt>
              <c:pt idx="6">
                <c:v>HGO</c:v>
              </c:pt>
              <c:pt idx="7">
                <c:v>YUC</c:v>
              </c:pt>
              <c:pt idx="8">
                <c:v>SLP</c:v>
              </c:pt>
              <c:pt idx="9">
                <c:v>TAB</c:v>
              </c:pt>
              <c:pt idx="10">
                <c:v>JAL</c:v>
              </c:pt>
              <c:pt idx="11">
                <c:v>DF</c:v>
              </c:pt>
              <c:pt idx="12">
                <c:v>COL</c:v>
              </c:pt>
              <c:pt idx="13">
                <c:v>BC</c:v>
              </c:pt>
              <c:pt idx="14">
                <c:v>ZAC</c:v>
              </c:pt>
              <c:pt idx="15">
                <c:v>QRO</c:v>
              </c:pt>
              <c:pt idx="16">
                <c:v>SIN</c:v>
              </c:pt>
              <c:pt idx="17">
                <c:v>COAH</c:v>
              </c:pt>
              <c:pt idx="18">
                <c:v>DGO</c:v>
              </c:pt>
              <c:pt idx="19">
                <c:v>NL</c:v>
              </c:pt>
              <c:pt idx="20">
                <c:v>GTO</c:v>
              </c:pt>
              <c:pt idx="21">
                <c:v>TAMP</c:v>
              </c:pt>
              <c:pt idx="22">
                <c:v>PUE</c:v>
              </c:pt>
              <c:pt idx="23">
                <c:v>CHIH</c:v>
              </c:pt>
              <c:pt idx="24">
                <c:v>QROO</c:v>
              </c:pt>
              <c:pt idx="25">
                <c:v>SON</c:v>
              </c:pt>
              <c:pt idx="26">
                <c:v>MOR</c:v>
              </c:pt>
              <c:pt idx="27">
                <c:v>OAX</c:v>
              </c:pt>
              <c:pt idx="28">
                <c:v>MEX</c:v>
              </c:pt>
              <c:pt idx="29">
                <c:v>GRO</c:v>
              </c:pt>
              <c:pt idx="30">
                <c:v>AGS</c:v>
              </c:pt>
              <c:pt idx="31">
                <c:v>BCS</c:v>
              </c:pt>
              <c:pt idx="32">
                <c:v>CHIS</c:v>
              </c:pt>
            </c:strLit>
          </c:cat>
          <c:val>
            <c:numLit>
              <c:formatCode>General</c:formatCode>
              <c:ptCount val="33"/>
              <c:pt idx="0">
                <c:v>2002</c:v>
              </c:pt>
              <c:pt idx="1">
                <c:v>93.19592064530535</c:v>
              </c:pt>
              <c:pt idx="2">
                <c:v>91.399354153729774</c:v>
              </c:pt>
              <c:pt idx="3">
                <c:v>89.950363104612492</c:v>
              </c:pt>
              <c:pt idx="4">
                <c:v>88.379393894101455</c:v>
              </c:pt>
              <c:pt idx="5">
                <c:v>87.102526881094249</c:v>
              </c:pt>
              <c:pt idx="6">
                <c:v>84.128063310699147</c:v>
              </c:pt>
              <c:pt idx="7">
                <c:v>83.796882066595018</c:v>
              </c:pt>
              <c:pt idx="8">
                <c:v>83.414120361951589</c:v>
              </c:pt>
              <c:pt idx="9">
                <c:v>83.38267969397171</c:v>
              </c:pt>
              <c:pt idx="10">
                <c:v>83.208582086466407</c:v>
              </c:pt>
              <c:pt idx="11">
                <c:v>82.748009849434808</c:v>
              </c:pt>
              <c:pt idx="12">
                <c:v>81.212492936429996</c:v>
              </c:pt>
              <c:pt idx="13">
                <c:v>81.150900225536219</c:v>
              </c:pt>
              <c:pt idx="14">
                <c:v>80.922076178825904</c:v>
              </c:pt>
              <c:pt idx="15">
                <c:v>80.856730306133443</c:v>
              </c:pt>
              <c:pt idx="16">
                <c:v>79.341977665300135</c:v>
              </c:pt>
              <c:pt idx="17">
                <c:v>78.356689539324748</c:v>
              </c:pt>
              <c:pt idx="18">
                <c:v>78.152150195484026</c:v>
              </c:pt>
              <c:pt idx="19">
                <c:v>77.457344184175597</c:v>
              </c:pt>
              <c:pt idx="20">
                <c:v>76.790189078797027</c:v>
              </c:pt>
              <c:pt idx="21">
                <c:v>76.155042968572388</c:v>
              </c:pt>
              <c:pt idx="22">
                <c:v>74.67923958120339</c:v>
              </c:pt>
              <c:pt idx="23">
                <c:v>74.527105906585348</c:v>
              </c:pt>
              <c:pt idx="24">
                <c:v>73.695257419611139</c:v>
              </c:pt>
              <c:pt idx="25">
                <c:v>73.353091362941143</c:v>
              </c:pt>
              <c:pt idx="26">
                <c:v>71.011127926315979</c:v>
              </c:pt>
              <c:pt idx="27">
                <c:v>70.229566560180132</c:v>
              </c:pt>
              <c:pt idx="28">
                <c:v>69.791480770690612</c:v>
              </c:pt>
              <c:pt idx="29">
                <c:v>69.698756604858559</c:v>
              </c:pt>
              <c:pt idx="30">
                <c:v>66.527156248479571</c:v>
              </c:pt>
              <c:pt idx="31">
                <c:v>65.736026071608066</c:v>
              </c:pt>
              <c:pt idx="32">
                <c:v>62.749346096807436</c:v>
              </c:pt>
            </c:numLit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shape val="cylinder"/>
        <c:axId val="109893120"/>
        <c:axId val="107311040"/>
        <c:axId val="0"/>
      </c:bar3DChart>
      <c:catAx>
        <c:axId val="109893120"/>
        <c:scaling>
          <c:orientation val="maxMin"/>
        </c:scaling>
        <c:delete val="1"/>
        <c:axPos val="l"/>
        <c:majorTickMark val="out"/>
        <c:minorTickMark val="none"/>
        <c:tickLblPos val="none"/>
        <c:crossAx val="107311040"/>
        <c:crosses val="autoZero"/>
        <c:auto val="1"/>
        <c:lblAlgn val="ctr"/>
        <c:lblOffset val="100"/>
        <c:noMultiLvlLbl val="0"/>
      </c:catAx>
      <c:valAx>
        <c:axId val="107311040"/>
        <c:scaling>
          <c:orientation val="minMax"/>
          <c:max val="100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MX"/>
          </a:p>
        </c:txPr>
        <c:crossAx val="109893120"/>
        <c:crosses val="max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73228346456704"/>
          <c:y val="6.3500322160075742E-2"/>
          <c:w val="0.80314960629921306"/>
          <c:h val="0.9060411820401056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999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9"/>
            <c:invertIfNegative val="0"/>
            <c:bubble3D val="0"/>
            <c:spPr>
              <a:solidFill>
                <a:schemeClr val="tx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</c:dPt>
          <c:cat>
            <c:strRef>
              <c:f>datos1!$A$5:$A$15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Global!$H$8:$H$18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9895168"/>
        <c:axId val="107313344"/>
      </c:barChart>
      <c:catAx>
        <c:axId val="109895168"/>
        <c:scaling>
          <c:orientation val="maxMin"/>
        </c:scaling>
        <c:delete val="0"/>
        <c:axPos val="l"/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07313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7313344"/>
        <c:scaling>
          <c:orientation val="minMax"/>
          <c:max val="10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09895168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 paperSize="9" orientation="landscape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5723370429251"/>
          <c:y val="0.10161662817551974"/>
          <c:w val="0.82352941176470584"/>
          <c:h val="0.831408775981524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gradFill rotWithShape="0">
                <a:gsLst>
                  <a:gs pos="0">
                    <a:srgbClr val="000000"/>
                  </a:gs>
                  <a:gs pos="50000">
                    <a:srgbClr val="000000">
                      <a:gamma/>
                      <a:tint val="0"/>
                      <a:invGamma/>
                    </a:srgbClr>
                  </a:gs>
                  <a:gs pos="100000">
                    <a:srgbClr val="000000"/>
                  </a:gs>
                </a:gsLst>
                <a:lin ang="5400000" scaled="1"/>
              </a:gra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datos3!$A$5:$A$15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Desglo2!$H$7:$H$17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09892608"/>
        <c:axId val="107503616"/>
      </c:barChart>
      <c:catAx>
        <c:axId val="10989260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07503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7503616"/>
        <c:scaling>
          <c:orientation val="minMax"/>
          <c:max val="10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09892608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 paperSize="9"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68938193343899"/>
          <c:y val="0.10273972602739725"/>
          <c:w val="0.82408874801901744"/>
          <c:h val="0.828767123287671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datos3!$C$5:$C$15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Desglo2!$H$30:$H$40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0535680"/>
        <c:axId val="107505344"/>
      </c:barChart>
      <c:catAx>
        <c:axId val="110535680"/>
        <c:scaling>
          <c:orientation val="maxMin"/>
        </c:scaling>
        <c:delete val="0"/>
        <c:axPos val="l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07505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7505344"/>
        <c:scaling>
          <c:orientation val="minMax"/>
          <c:max val="10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10535680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datos3!$E$5:$E$15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Desglo3!$H$7:$H$17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8096384"/>
        <c:axId val="107507072"/>
      </c:barChart>
      <c:catAx>
        <c:axId val="118096384"/>
        <c:scaling>
          <c:orientation val="maxMin"/>
        </c:scaling>
        <c:delete val="0"/>
        <c:axPos val="l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07507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7507072"/>
        <c:scaling>
          <c:orientation val="minMax"/>
          <c:max val="10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18096384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 paperSize="9" orientation="landscape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3238546603475"/>
          <c:y val="0.10044642857142859"/>
          <c:w val="0.82780410742496069"/>
          <c:h val="0.8348214285714290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chemeClr val="tx1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FF000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strRef>
              <c:f>datos3!$G$5:$G$15</c:f>
              <c:strCache>
                <c:ptCount val="11"/>
                <c:pt idx="0">
                  <c:v>Tuxtla</c:v>
                </c:pt>
                <c:pt idx="1">
                  <c:v>San Cristóbal</c:v>
                </c:pt>
                <c:pt idx="2">
                  <c:v>Comitán</c:v>
                </c:pt>
                <c:pt idx="3">
                  <c:v>Villaflores</c:v>
                </c:pt>
                <c:pt idx="4">
                  <c:v>Pichucalco</c:v>
                </c:pt>
                <c:pt idx="5">
                  <c:v>Palenque</c:v>
                </c:pt>
                <c:pt idx="6">
                  <c:v>Tapachula</c:v>
                </c:pt>
                <c:pt idx="7">
                  <c:v>Tonalá</c:v>
                </c:pt>
                <c:pt idx="8">
                  <c:v>Ocosingo</c:v>
                </c:pt>
                <c:pt idx="9">
                  <c:v>Motozintla</c:v>
                </c:pt>
                <c:pt idx="10">
                  <c:v>Estatal</c:v>
                </c:pt>
              </c:strCache>
            </c:strRef>
          </c:cat>
          <c:val>
            <c:numRef>
              <c:f>Desglo3!$H$30:$H$40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8097408"/>
        <c:axId val="107508800"/>
      </c:barChart>
      <c:catAx>
        <c:axId val="118097408"/>
        <c:scaling>
          <c:orientation val="maxMin"/>
        </c:scaling>
        <c:delete val="0"/>
        <c:axPos val="l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07508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07508800"/>
        <c:scaling>
          <c:orientation val="minMax"/>
          <c:max val="10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18097408"/>
        <c:crosses val="autoZero"/>
        <c:crossBetween val="between"/>
        <c:majorUnit val="2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4020618556701"/>
          <c:y val="0.10705621544303025"/>
          <c:w val="0.81958762886597936"/>
          <c:h val="0.8832137774049985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</c:spPr>
          <c:invertIfNegative val="0"/>
          <c:val>
            <c:numRef>
              <c:f>Comparativo!$L$11:$L$21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18087680"/>
        <c:axId val="107511104"/>
      </c:barChart>
      <c:catAx>
        <c:axId val="118087680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075111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511104"/>
        <c:scaling>
          <c:orientation val="minMax"/>
          <c:max val="100"/>
          <c:min val="-10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18087680"/>
        <c:crosses val="autoZero"/>
        <c:crossBetween val="between"/>
        <c:majorUnit val="50"/>
        <c:minorUnit val="1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3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.5" footer="0.5"/>
    <c:pageSetup paperSize="9" orientation="landscape" horizontalDpi="0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038065929935702E-2"/>
          <c:y val="0.10000021701435986"/>
          <c:w val="0.81099928519412223"/>
          <c:h val="0.8066684172491699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Comparativo!$C$10</c:f>
              <c:strCache>
                <c:ptCount val="1"/>
                <c:pt idx="0">
                  <c:v>1er. Semestre 2013</c:v>
                </c:pt>
              </c:strCache>
            </c:strRef>
          </c:tx>
          <c:spPr>
            <a:solidFill>
              <a:srgbClr val="00B050"/>
            </a:solidFill>
            <a:ln w="12700">
              <a:solidFill>
                <a:srgbClr val="000000"/>
              </a:solidFill>
              <a:prstDash val="solid"/>
            </a:ln>
            <a:scene3d>
              <a:camera prst="orthographicFront"/>
              <a:lightRig rig="threePt" dir="t"/>
            </a:scene3d>
            <a:sp3d/>
          </c:spPr>
          <c:invertIfNegative val="0"/>
          <c:dPt>
            <c:idx val="0"/>
            <c:invertIfNegative val="0"/>
            <c:bubble3D val="0"/>
          </c:dPt>
          <c:val>
            <c:numRef>
              <c:f>Comparativo!$C$11:$C$21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ser>
          <c:idx val="1"/>
          <c:order val="1"/>
          <c:tx>
            <c:strRef>
              <c:f>Comparativo!$B$10</c:f>
              <c:strCache>
                <c:ptCount val="1"/>
                <c:pt idx="0">
                  <c:v>1er. Semestre 2012</c:v>
                </c:pt>
              </c:strCache>
            </c:strRef>
          </c:tx>
          <c:spPr>
            <a:solidFill>
              <a:srgbClr val="C00000"/>
            </a:solidFill>
            <a:ln w="12700">
              <a:solidFill>
                <a:srgbClr val="000000"/>
              </a:solidFill>
              <a:prstDash val="solid"/>
            </a:ln>
            <a:scene3d>
              <a:camera prst="orthographicFront"/>
              <a:lightRig rig="threePt" dir="t"/>
            </a:scene3d>
            <a:sp3d/>
          </c:spPr>
          <c:invertIfNegative val="0"/>
          <c:val>
            <c:numRef>
              <c:f>Comparativo!$B$11:$B$21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8089216"/>
        <c:axId val="107479616"/>
      </c:barChart>
      <c:catAx>
        <c:axId val="11808921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074796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479616"/>
        <c:scaling>
          <c:orientation val="minMax"/>
          <c:max val="100"/>
          <c:min val="0"/>
        </c:scaling>
        <c:delete val="0"/>
        <c:axPos val="t"/>
        <c:majorGridlines>
          <c:spPr>
            <a:ln w="3175">
              <a:solidFill>
                <a:srgbClr val="000000"/>
              </a:solidFill>
              <a:prstDash val="dash"/>
            </a:ln>
          </c:spPr>
        </c:maj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18089216"/>
        <c:crosses val="autoZero"/>
        <c:crossBetween val="between"/>
        <c:majorUnit val="20"/>
        <c:minorUnit val="5"/>
      </c:valAx>
      <c:spPr>
        <a:solidFill>
          <a:schemeClr val="bg1">
            <a:lumMod val="95000"/>
          </a:schemeClr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08486439195111E-2"/>
          <c:y val="0.92666876640420004"/>
          <c:w val="0.78985686789151377"/>
          <c:h val="5.629629629629597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MX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124379792901757E-2"/>
          <c:y val="0.11347517730496454"/>
          <c:w val="0.94225211569603029"/>
          <c:h val="0.8770685579196217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'Vel2'!$H$11:$H$21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18620160"/>
        <c:axId val="107481344"/>
      </c:barChart>
      <c:catAx>
        <c:axId val="118620160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07481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481344"/>
        <c:scaling>
          <c:orientation val="minMax"/>
          <c:max val="10"/>
          <c:min val="-1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18620160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124379792901757E-2"/>
          <c:y val="0.1141954370150086"/>
          <c:w val="0.94225211569603029"/>
          <c:h val="0.875498350448399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'Vel2'!$H$32:$H$42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18621696"/>
        <c:axId val="107483072"/>
      </c:barChart>
      <c:catAx>
        <c:axId val="118621696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074830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483072"/>
        <c:scaling>
          <c:orientation val="minMax"/>
          <c:max val="10"/>
          <c:min val="-1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18621696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124379792901757E-2"/>
          <c:y val="0.11347517730496454"/>
          <c:w val="0.94225211569603029"/>
          <c:h val="0.8770685579196217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'Vel3'!$H$11:$H$21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00369408"/>
        <c:axId val="107484800"/>
      </c:barChart>
      <c:catAx>
        <c:axId val="100369408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074848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484800"/>
        <c:scaling>
          <c:orientation val="minMax"/>
          <c:max val="10"/>
          <c:min val="-1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00369408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656947727869768E-2"/>
          <c:y val="0.11455847255369929"/>
          <c:w val="0.94142369319674279"/>
          <c:h val="0.8758949880668257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'Vel3'!$H$32:$H$42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37122304"/>
        <c:axId val="107486528"/>
      </c:barChart>
      <c:catAx>
        <c:axId val="137122304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FFFFFF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074865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7486528"/>
        <c:scaling>
          <c:orientation val="minMax"/>
          <c:max val="10"/>
          <c:min val="-1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MX"/>
          </a:p>
        </c:txPr>
        <c:crossAx val="137122304"/>
        <c:crosses val="autoZero"/>
        <c:crossBetween val="between"/>
        <c:majorUnit val="1"/>
        <c:minorUnit val="0.5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MX"/>
    </a:p>
  </c:txPr>
  <c:printSettings>
    <c:headerFooter alignWithMargins="0"/>
    <c:pageMargins b="1" l="0.75000000000000044" r="0.75000000000000044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104775</xdr:colOff>
      <xdr:row>30</xdr:row>
      <xdr:rowOff>9525</xdr:rowOff>
    </xdr:from>
    <xdr:to>
      <xdr:col>2</xdr:col>
      <xdr:colOff>447675</xdr:colOff>
      <xdr:row>31</xdr:row>
      <xdr:rowOff>9525</xdr:rowOff>
    </xdr:to>
    <xdr:pic macro="[0]!LEPRA">
      <xdr:nvPicPr>
        <xdr:cNvPr id="1055" name="Picture 1" descr="Presione  para iniciar el proces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52550" y="7753350"/>
          <a:ext cx="342900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11</xdr:row>
      <xdr:rowOff>95250</xdr:rowOff>
    </xdr:from>
    <xdr:to>
      <xdr:col>8</xdr:col>
      <xdr:colOff>657225</xdr:colOff>
      <xdr:row>15</xdr:row>
      <xdr:rowOff>47625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28575" y="1876425"/>
          <a:ext cx="8839200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>
          <a:scene3d>
            <a:camera prst="orthographicFront"/>
            <a:lightRig rig="soft" dir="t">
              <a:rot lat="0" lon="0" rev="10800000"/>
            </a:lightRig>
          </a:scene3d>
          <a:sp3d>
            <a:bevelT w="27940" h="12700"/>
            <a:contourClr>
              <a:srgbClr val="DDDDDD"/>
            </a:contourClr>
          </a:sp3d>
        </a:bodyPr>
        <a:lstStyle/>
        <a:p>
          <a:pPr algn="l" rtl="0">
            <a:defRPr sz="1000"/>
          </a:pPr>
          <a:r>
            <a:rPr lang="es-ES" sz="2500" b="1" i="0" u="none" strike="noStrike" cap="none" spc="150" baseline="0">
              <a:ln w="11430"/>
              <a:solidFill>
                <a:schemeClr val="accent2">
                  <a:lumMod val="50000"/>
                </a:schemeClr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rial Black" pitchFamily="34" charset="0"/>
              <a:cs typeface="Arial"/>
            </a:rPr>
            <a:t>Caminando a la Excelencia</a:t>
          </a:r>
          <a:r>
            <a:rPr lang="es-ES" sz="2500" b="1" i="0" u="none" strike="noStrike" cap="none" spc="150" baseline="0">
              <a:ln w="11430"/>
              <a:solidFill>
                <a:schemeClr val="accent2">
                  <a:lumMod val="50000"/>
                </a:schemeClr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rial Black" pitchFamily="34" charset="0"/>
            </a:rPr>
            <a:t>  </a:t>
          </a:r>
          <a:r>
            <a:rPr lang="es-ES" sz="900" b="1" i="0" u="none" strike="noStrike" cap="none" spc="150" baseline="0">
              <a:ln w="11430"/>
              <a:solidFill>
                <a:srgbClr val="F8F8F8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ndale Sans"/>
            </a:rPr>
            <a:t> </a:t>
          </a:r>
          <a:r>
            <a:rPr lang="es-ES" sz="1500" b="1" i="0" u="none" strike="noStrike" cap="none" spc="150" baseline="0">
              <a:ln w="11430"/>
              <a:solidFill>
                <a:srgbClr val="C00000"/>
              </a:solidFill>
              <a:effectLst>
                <a:outerShdw blurRad="25400" algn="tl" rotWithShape="0">
                  <a:srgbClr val="000000">
                    <a:alpha val="43000"/>
                  </a:srgbClr>
                </a:outerShdw>
              </a:effectLst>
              <a:latin typeface="Andale Sans"/>
            </a:rPr>
            <a:t>Informe:  1er. Semestre 2013</a:t>
          </a:r>
        </a:p>
      </xdr:txBody>
    </xdr:sp>
    <xdr:clientData/>
  </xdr:twoCellAnchor>
  <xdr:twoCellAnchor>
    <xdr:from>
      <xdr:col>9</xdr:col>
      <xdr:colOff>0</xdr:colOff>
      <xdr:row>39</xdr:row>
      <xdr:rowOff>76200</xdr:rowOff>
    </xdr:from>
    <xdr:to>
      <xdr:col>9</xdr:col>
      <xdr:colOff>0</xdr:colOff>
      <xdr:row>49</xdr:row>
      <xdr:rowOff>0</xdr:rowOff>
    </xdr:to>
    <xdr:graphicFrame macro="">
      <xdr:nvGraphicFramePr>
        <xdr:cNvPr id="24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39</xdr:row>
      <xdr:rowOff>76200</xdr:rowOff>
    </xdr:from>
    <xdr:to>
      <xdr:col>9</xdr:col>
      <xdr:colOff>0</xdr:colOff>
      <xdr:row>49</xdr:row>
      <xdr:rowOff>0</xdr:rowOff>
    </xdr:to>
    <xdr:graphicFrame macro="">
      <xdr:nvGraphicFramePr>
        <xdr:cNvPr id="249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904875</xdr:colOff>
      <xdr:row>0</xdr:row>
      <xdr:rowOff>38100</xdr:rowOff>
    </xdr:from>
    <xdr:to>
      <xdr:col>7</xdr:col>
      <xdr:colOff>619125</xdr:colOff>
      <xdr:row>7</xdr:row>
      <xdr:rowOff>66675</xdr:rowOff>
    </xdr:to>
    <xdr:sp macro="" textlink="">
      <xdr:nvSpPr>
        <xdr:cNvPr id="2066" name="Text Box 18"/>
        <xdr:cNvSpPr txBox="1">
          <a:spLocks noChangeArrowheads="1"/>
        </xdr:cNvSpPr>
      </xdr:nvSpPr>
      <xdr:spPr bwMode="auto">
        <a:xfrm>
          <a:off x="1323975" y="38100"/>
          <a:ext cx="5562600" cy="1162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36576" bIns="0" anchor="t" upright="1"/>
        <a:lstStyle/>
        <a:p>
          <a:pPr algn="ctr" rtl="0">
            <a:defRPr sz="1000"/>
          </a:pPr>
          <a:r>
            <a:rPr lang="es-ES" sz="1600" b="1" i="0" u="none" strike="noStrike" baseline="0">
              <a:solidFill>
                <a:srgbClr val="800000"/>
              </a:solidFill>
              <a:latin typeface="+mn-lt"/>
              <a:cs typeface="Times New Roman"/>
            </a:rPr>
            <a:t>Evaluación Integral de las Jurisdicciones Sanitarias a través de los resultados de los Programas de Acción, utilizando la metodología vectorial</a:t>
          </a:r>
        </a:p>
      </xdr:txBody>
    </xdr:sp>
    <xdr:clientData/>
  </xdr:twoCellAnchor>
  <xdr:twoCellAnchor>
    <xdr:from>
      <xdr:col>7</xdr:col>
      <xdr:colOff>628651</xdr:colOff>
      <xdr:row>0</xdr:row>
      <xdr:rowOff>66675</xdr:rowOff>
    </xdr:from>
    <xdr:to>
      <xdr:col>8</xdr:col>
      <xdr:colOff>666751</xdr:colOff>
      <xdr:row>5</xdr:row>
      <xdr:rowOff>76200</xdr:rowOff>
    </xdr:to>
    <xdr:pic>
      <xdr:nvPicPr>
        <xdr:cNvPr id="2507" name="Picture 2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 l="6883" r="21666" b="39346"/>
        <a:stretch>
          <a:fillRect/>
        </a:stretch>
      </xdr:blipFill>
      <xdr:spPr bwMode="auto">
        <a:xfrm>
          <a:off x="6896101" y="66675"/>
          <a:ext cx="1085850" cy="8191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66675</xdr:colOff>
      <xdr:row>0</xdr:row>
      <xdr:rowOff>57150</xdr:rowOff>
    </xdr:from>
    <xdr:to>
      <xdr:col>1</xdr:col>
      <xdr:colOff>866775</xdr:colOff>
      <xdr:row>4</xdr:row>
      <xdr:rowOff>38100</xdr:rowOff>
    </xdr:to>
    <xdr:pic>
      <xdr:nvPicPr>
        <xdr:cNvPr id="2508" name="Picture 21" descr="escudo nuevo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6675" y="57150"/>
          <a:ext cx="1219200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19050</xdr:colOff>
      <xdr:row>5</xdr:row>
      <xdr:rowOff>123825</xdr:rowOff>
    </xdr:from>
    <xdr:to>
      <xdr:col>8</xdr:col>
      <xdr:colOff>609600</xdr:colOff>
      <xdr:row>10</xdr:row>
      <xdr:rowOff>114300</xdr:rowOff>
    </xdr:to>
    <xdr:sp macro="" textlink="">
      <xdr:nvSpPr>
        <xdr:cNvPr id="19" name="18 CuadroTexto"/>
        <xdr:cNvSpPr txBox="1"/>
      </xdr:nvSpPr>
      <xdr:spPr>
        <a:xfrm>
          <a:off x="19050" y="933450"/>
          <a:ext cx="8801100" cy="800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s-MX" sz="4000" b="1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tx2">
                  <a:lumMod val="40000"/>
                  <a:lumOff val="6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L</a:t>
          </a:r>
          <a:r>
            <a:rPr lang="es-MX" sz="4000" b="1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tx2">
                  <a:lumMod val="40000"/>
                  <a:lumOff val="60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  E  P  R  A</a:t>
          </a:r>
          <a:endParaRPr lang="es-MX" sz="4000" b="1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tx2">
                <a:lumMod val="40000"/>
                <a:lumOff val="60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Arial Black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47625</xdr:rowOff>
    </xdr:from>
    <xdr:to>
      <xdr:col>7</xdr:col>
      <xdr:colOff>542925</xdr:colOff>
      <xdr:row>19</xdr:row>
      <xdr:rowOff>28575</xdr:rowOff>
    </xdr:to>
    <xdr:graphicFrame macro="">
      <xdr:nvGraphicFramePr>
        <xdr:cNvPr id="31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7</xdr:col>
      <xdr:colOff>619125</xdr:colOff>
      <xdr:row>3</xdr:row>
      <xdr:rowOff>0</xdr:rowOff>
    </xdr:to>
    <xdr:sp macro="" textlink="">
      <xdr:nvSpPr>
        <xdr:cNvPr id="3074" name="Text Box 2"/>
        <xdr:cNvSpPr txBox="1">
          <a:spLocks noChangeArrowheads="1"/>
        </xdr:cNvSpPr>
      </xdr:nvSpPr>
      <xdr:spPr bwMode="auto">
        <a:xfrm>
          <a:off x="19050" y="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s-ES" sz="2000" b="1" i="0" u="none" strike="noStrike" baseline="0">
              <a:solidFill>
                <a:srgbClr val="000000"/>
              </a:solidFill>
              <a:latin typeface="Arial Black"/>
            </a:rPr>
            <a:t>Evaluación Jurisdiccional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38100</xdr:rowOff>
    </xdr:from>
    <xdr:to>
      <xdr:col>7</xdr:col>
      <xdr:colOff>504825</xdr:colOff>
      <xdr:row>18</xdr:row>
      <xdr:rowOff>76200</xdr:rowOff>
    </xdr:to>
    <xdr:graphicFrame macro="">
      <xdr:nvGraphicFramePr>
        <xdr:cNvPr id="82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8194" name="Text Box 2"/>
        <xdr:cNvSpPr txBox="1">
          <a:spLocks noChangeArrowheads="1"/>
        </xdr:cNvSpPr>
      </xdr:nvSpPr>
      <xdr:spPr bwMode="auto">
        <a:xfrm>
          <a:off x="19050" y="0"/>
          <a:ext cx="6096000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Diagnóstico Oportuno</a:t>
          </a:r>
        </a:p>
      </xdr:txBody>
    </xdr:sp>
    <xdr:clientData/>
  </xdr:twoCellAnchor>
  <xdr:twoCellAnchor editAs="oneCell">
    <xdr:from>
      <xdr:col>0</xdr:col>
      <xdr:colOff>28575</xdr:colOff>
      <xdr:row>23</xdr:row>
      <xdr:rowOff>9525</xdr:rowOff>
    </xdr:from>
    <xdr:to>
      <xdr:col>8</xdr:col>
      <xdr:colOff>0</xdr:colOff>
      <xdr:row>26</xdr:row>
      <xdr:rowOff>9525</xdr:rowOff>
    </xdr:to>
    <xdr:sp macro="" textlink="">
      <xdr:nvSpPr>
        <xdr:cNvPr id="8195" name="Text Box 3"/>
        <xdr:cNvSpPr txBox="1">
          <a:spLocks noChangeArrowheads="1"/>
        </xdr:cNvSpPr>
      </xdr:nvSpPr>
      <xdr:spPr bwMode="auto">
        <a:xfrm>
          <a:off x="28575" y="539115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Calidad en el Diagnóstico</a:t>
          </a:r>
        </a:p>
      </xdr:txBody>
    </xdr:sp>
    <xdr:clientData/>
  </xdr:twoCellAnchor>
  <xdr:twoCellAnchor>
    <xdr:from>
      <xdr:col>0</xdr:col>
      <xdr:colOff>0</xdr:colOff>
      <xdr:row>26</xdr:row>
      <xdr:rowOff>85725</xdr:rowOff>
    </xdr:from>
    <xdr:to>
      <xdr:col>7</xdr:col>
      <xdr:colOff>523875</xdr:colOff>
      <xdr:row>41</xdr:row>
      <xdr:rowOff>0</xdr:rowOff>
    </xdr:to>
    <xdr:graphicFrame macro="">
      <xdr:nvGraphicFramePr>
        <xdr:cNvPr id="830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114300</xdr:rowOff>
    </xdr:from>
    <xdr:to>
      <xdr:col>7</xdr:col>
      <xdr:colOff>504825</xdr:colOff>
      <xdr:row>18</xdr:row>
      <xdr:rowOff>38100</xdr:rowOff>
    </xdr:to>
    <xdr:graphicFrame macro="">
      <xdr:nvGraphicFramePr>
        <xdr:cNvPr id="1137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11266" name="Text Box 2"/>
        <xdr:cNvSpPr txBox="1">
          <a:spLocks noChangeArrowheads="1"/>
        </xdr:cNvSpPr>
      </xdr:nvSpPr>
      <xdr:spPr bwMode="auto">
        <a:xfrm>
          <a:off x="19050" y="0"/>
          <a:ext cx="6096000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400" b="1" i="0" u="none" strike="noStrike" baseline="0">
              <a:solidFill>
                <a:srgbClr val="000000"/>
              </a:solidFill>
              <a:latin typeface="Arial Black"/>
            </a:rPr>
            <a:t>Cobertura del Tratamiento</a:t>
          </a:r>
        </a:p>
      </xdr:txBody>
    </xdr:sp>
    <xdr:clientData/>
  </xdr:twoCellAnchor>
  <xdr:twoCellAnchor editAs="oneCell">
    <xdr:from>
      <xdr:col>0</xdr:col>
      <xdr:colOff>28575</xdr:colOff>
      <xdr:row>23</xdr:row>
      <xdr:rowOff>9525</xdr:rowOff>
    </xdr:from>
    <xdr:to>
      <xdr:col>8</xdr:col>
      <xdr:colOff>0</xdr:colOff>
      <xdr:row>26</xdr:row>
      <xdr:rowOff>9525</xdr:rowOff>
    </xdr:to>
    <xdr:sp macro="" textlink="">
      <xdr:nvSpPr>
        <xdr:cNvPr id="11267" name="Text Box 3"/>
        <xdr:cNvSpPr txBox="1">
          <a:spLocks noChangeArrowheads="1"/>
        </xdr:cNvSpPr>
      </xdr:nvSpPr>
      <xdr:spPr bwMode="auto">
        <a:xfrm>
          <a:off x="28575" y="5410200"/>
          <a:ext cx="6086475" cy="4857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400" b="1" i="0" u="none" strike="noStrike" baseline="0">
              <a:solidFill>
                <a:srgbClr val="000000"/>
              </a:solidFill>
              <a:latin typeface="Arial Black"/>
            </a:rPr>
            <a:t>Examen de Contactos</a:t>
          </a:r>
        </a:p>
      </xdr:txBody>
    </xdr:sp>
    <xdr:clientData/>
  </xdr:twoCellAnchor>
  <xdr:twoCellAnchor>
    <xdr:from>
      <xdr:col>0</xdr:col>
      <xdr:colOff>0</xdr:colOff>
      <xdr:row>25</xdr:row>
      <xdr:rowOff>142875</xdr:rowOff>
    </xdr:from>
    <xdr:to>
      <xdr:col>7</xdr:col>
      <xdr:colOff>542925</xdr:colOff>
      <xdr:row>41</xdr:row>
      <xdr:rowOff>114300</xdr:rowOff>
    </xdr:to>
    <xdr:graphicFrame macro="">
      <xdr:nvGraphicFramePr>
        <xdr:cNvPr id="1137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619125</xdr:colOff>
      <xdr:row>9</xdr:row>
      <xdr:rowOff>19050</xdr:rowOff>
    </xdr:from>
    <xdr:to>
      <xdr:col>10</xdr:col>
      <xdr:colOff>19050</xdr:colOff>
      <xdr:row>21</xdr:row>
      <xdr:rowOff>38100</xdr:rowOff>
    </xdr:to>
    <xdr:graphicFrame macro="">
      <xdr:nvGraphicFramePr>
        <xdr:cNvPr id="1344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523875</xdr:colOff>
      <xdr:row>9</xdr:row>
      <xdr:rowOff>9525</xdr:rowOff>
    </xdr:from>
    <xdr:to>
      <xdr:col>6</xdr:col>
      <xdr:colOff>276225</xdr:colOff>
      <xdr:row>23</xdr:row>
      <xdr:rowOff>76200</xdr:rowOff>
    </xdr:to>
    <xdr:graphicFrame macro="">
      <xdr:nvGraphicFramePr>
        <xdr:cNvPr id="1344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</xdr:colOff>
      <xdr:row>5</xdr:row>
      <xdr:rowOff>0</xdr:rowOff>
    </xdr:from>
    <xdr:to>
      <xdr:col>18</xdr:col>
      <xdr:colOff>0</xdr:colOff>
      <xdr:row>6</xdr:row>
      <xdr:rowOff>57150</xdr:rowOff>
    </xdr:to>
    <xdr:sp macro="" textlink="">
      <xdr:nvSpPr>
        <xdr:cNvPr id="13315" name="Text Box 3"/>
        <xdr:cNvSpPr txBox="1">
          <a:spLocks noChangeArrowheads="1"/>
        </xdr:cNvSpPr>
      </xdr:nvSpPr>
      <xdr:spPr bwMode="auto">
        <a:xfrm>
          <a:off x="3933825" y="809625"/>
          <a:ext cx="5429250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Índice de Comparación (%)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6</xdr:col>
      <xdr:colOff>9525</xdr:colOff>
      <xdr:row>6</xdr:row>
      <xdr:rowOff>76200</xdr:rowOff>
    </xdr:to>
    <xdr:sp macro="" textlink="">
      <xdr:nvSpPr>
        <xdr:cNvPr id="13316" name="Text Box 4"/>
        <xdr:cNvSpPr txBox="1">
          <a:spLocks noChangeArrowheads="1"/>
        </xdr:cNvSpPr>
      </xdr:nvSpPr>
      <xdr:spPr bwMode="auto">
        <a:xfrm>
          <a:off x="0" y="809625"/>
          <a:ext cx="39147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Índice de Desempeño Vectorial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19049</xdr:rowOff>
    </xdr:from>
    <xdr:to>
      <xdr:col>17</xdr:col>
      <xdr:colOff>571500</xdr:colOff>
      <xdr:row>4</xdr:row>
      <xdr:rowOff>19050</xdr:rowOff>
    </xdr:to>
    <xdr:sp macro="" textlink="">
      <xdr:nvSpPr>
        <xdr:cNvPr id="13317" name="Text Box 5"/>
        <xdr:cNvSpPr txBox="1">
          <a:spLocks noChangeArrowheads="1"/>
        </xdr:cNvSpPr>
      </xdr:nvSpPr>
      <xdr:spPr bwMode="auto">
        <a:xfrm>
          <a:off x="9525" y="19049"/>
          <a:ext cx="10239375" cy="647701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3000" b="1" i="0" u="none" strike="noStrike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bg2">
                  <a:lumMod val="90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  <a:latin typeface="Arial Black"/>
            </a:rPr>
            <a:t>L e p r 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3</xdr:row>
      <xdr:rowOff>66675</xdr:rowOff>
    </xdr:from>
    <xdr:to>
      <xdr:col>7</xdr:col>
      <xdr:colOff>609600</xdr:colOff>
      <xdr:row>7</xdr:row>
      <xdr:rowOff>0</xdr:rowOff>
    </xdr:to>
    <xdr:sp macro="" textlink="">
      <xdr:nvSpPr>
        <xdr:cNvPr id="19457" name="Text Box 1"/>
        <xdr:cNvSpPr txBox="1">
          <a:spLocks noChangeArrowheads="1"/>
        </xdr:cNvSpPr>
      </xdr:nvSpPr>
      <xdr:spPr bwMode="auto">
        <a:xfrm>
          <a:off x="19050" y="619125"/>
          <a:ext cx="6076950" cy="58102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Diagnóstico oportuno</a:t>
          </a:r>
        </a:p>
      </xdr:txBody>
    </xdr:sp>
    <xdr:clientData/>
  </xdr:twoCellAnchor>
  <xdr:twoCellAnchor editAs="oneCell">
    <xdr:from>
      <xdr:col>0</xdr:col>
      <xdr:colOff>28575</xdr:colOff>
      <xdr:row>24</xdr:row>
      <xdr:rowOff>85725</xdr:rowOff>
    </xdr:from>
    <xdr:to>
      <xdr:col>7</xdr:col>
      <xdr:colOff>609600</xdr:colOff>
      <xdr:row>28</xdr:row>
      <xdr:rowOff>9525</xdr:rowOff>
    </xdr:to>
    <xdr:sp macro="" textlink="">
      <xdr:nvSpPr>
        <xdr:cNvPr id="19458" name="Text Box 2"/>
        <xdr:cNvSpPr txBox="1">
          <a:spLocks noChangeArrowheads="1"/>
        </xdr:cNvSpPr>
      </xdr:nvSpPr>
      <xdr:spPr bwMode="auto">
        <a:xfrm>
          <a:off x="28575" y="5705475"/>
          <a:ext cx="6067425" cy="5619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Calidad en el Diagnóstico</a:t>
          </a:r>
        </a:p>
      </xdr:txBody>
    </xdr:sp>
    <xdr:clientData/>
  </xdr:twoCellAnchor>
  <xdr:twoCellAnchor>
    <xdr:from>
      <xdr:col>0</xdr:col>
      <xdr:colOff>485775</xdr:colOff>
      <xdr:row>6</xdr:row>
      <xdr:rowOff>152400</xdr:rowOff>
    </xdr:from>
    <xdr:to>
      <xdr:col>7</xdr:col>
      <xdr:colOff>371475</xdr:colOff>
      <xdr:row>21</xdr:row>
      <xdr:rowOff>47625</xdr:rowOff>
    </xdr:to>
    <xdr:graphicFrame macro="">
      <xdr:nvGraphicFramePr>
        <xdr:cNvPr id="1956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485775</xdr:colOff>
      <xdr:row>28</xdr:row>
      <xdr:rowOff>9525</xdr:rowOff>
    </xdr:from>
    <xdr:to>
      <xdr:col>7</xdr:col>
      <xdr:colOff>371475</xdr:colOff>
      <xdr:row>42</xdr:row>
      <xdr:rowOff>38100</xdr:rowOff>
    </xdr:to>
    <xdr:graphicFrame macro="">
      <xdr:nvGraphicFramePr>
        <xdr:cNvPr id="1956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3</xdr:row>
      <xdr:rowOff>123825</xdr:rowOff>
    </xdr:from>
    <xdr:to>
      <xdr:col>7</xdr:col>
      <xdr:colOff>609600</xdr:colOff>
      <xdr:row>7</xdr:row>
      <xdr:rowOff>0</xdr:rowOff>
    </xdr:to>
    <xdr:sp macro="" textlink="">
      <xdr:nvSpPr>
        <xdr:cNvPr id="22529" name="Text Box 1"/>
        <xdr:cNvSpPr txBox="1">
          <a:spLocks noChangeArrowheads="1"/>
        </xdr:cNvSpPr>
      </xdr:nvSpPr>
      <xdr:spPr bwMode="auto">
        <a:xfrm>
          <a:off x="19050" y="676275"/>
          <a:ext cx="6076950" cy="5238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Cobertura del Tratamiento</a:t>
          </a:r>
        </a:p>
      </xdr:txBody>
    </xdr:sp>
    <xdr:clientData/>
  </xdr:twoCellAnchor>
  <xdr:twoCellAnchor editAs="oneCell">
    <xdr:from>
      <xdr:col>0</xdr:col>
      <xdr:colOff>28575</xdr:colOff>
      <xdr:row>24</xdr:row>
      <xdr:rowOff>114300</xdr:rowOff>
    </xdr:from>
    <xdr:to>
      <xdr:col>7</xdr:col>
      <xdr:colOff>609600</xdr:colOff>
      <xdr:row>28</xdr:row>
      <xdr:rowOff>9525</xdr:rowOff>
    </xdr:to>
    <xdr:sp macro="" textlink="">
      <xdr:nvSpPr>
        <xdr:cNvPr id="22530" name="Text Box 2"/>
        <xdr:cNvSpPr txBox="1">
          <a:spLocks noChangeArrowheads="1"/>
        </xdr:cNvSpPr>
      </xdr:nvSpPr>
      <xdr:spPr bwMode="auto">
        <a:xfrm>
          <a:off x="28575" y="5734050"/>
          <a:ext cx="6067425" cy="533400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1200" b="1" i="0" u="none" strike="noStrike" baseline="0">
              <a:solidFill>
                <a:srgbClr val="000000"/>
              </a:solidFill>
              <a:latin typeface="Arial Black"/>
            </a:rPr>
            <a:t>Examen de Contactos</a:t>
          </a:r>
        </a:p>
      </xdr:txBody>
    </xdr:sp>
    <xdr:clientData/>
  </xdr:twoCellAnchor>
  <xdr:twoCellAnchor>
    <xdr:from>
      <xdr:col>0</xdr:col>
      <xdr:colOff>485775</xdr:colOff>
      <xdr:row>6</xdr:row>
      <xdr:rowOff>152400</xdr:rowOff>
    </xdr:from>
    <xdr:to>
      <xdr:col>7</xdr:col>
      <xdr:colOff>371475</xdr:colOff>
      <xdr:row>21</xdr:row>
      <xdr:rowOff>47625</xdr:rowOff>
    </xdr:to>
    <xdr:graphicFrame macro="">
      <xdr:nvGraphicFramePr>
        <xdr:cNvPr id="2263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523875</xdr:colOff>
      <xdr:row>28</xdr:row>
      <xdr:rowOff>9525</xdr:rowOff>
    </xdr:from>
    <xdr:to>
      <xdr:col>7</xdr:col>
      <xdr:colOff>333375</xdr:colOff>
      <xdr:row>42</xdr:row>
      <xdr:rowOff>28575</xdr:rowOff>
    </xdr:to>
    <xdr:graphicFrame macro="">
      <xdr:nvGraphicFramePr>
        <xdr:cNvPr id="2263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6</xdr:col>
      <xdr:colOff>733425</xdr:colOff>
      <xdr:row>3</xdr:row>
      <xdr:rowOff>123825</xdr:rowOff>
    </xdr:to>
    <xdr:sp macro="" textlink="">
      <xdr:nvSpPr>
        <xdr:cNvPr id="24577" name="Text Box 1"/>
        <xdr:cNvSpPr txBox="1">
          <a:spLocks noChangeArrowheads="1"/>
        </xdr:cNvSpPr>
      </xdr:nvSpPr>
      <xdr:spPr bwMode="auto">
        <a:xfrm>
          <a:off x="0" y="9525"/>
          <a:ext cx="5305425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l" rtl="0">
            <a:defRPr sz="1000"/>
          </a:pPr>
          <a:r>
            <a:rPr lang="es-ES" sz="2000" b="1" i="0" u="none" strike="noStrike" baseline="0">
              <a:solidFill>
                <a:srgbClr val="000000"/>
              </a:solidFill>
              <a:latin typeface="Arial"/>
              <a:cs typeface="Arial"/>
            </a:rPr>
            <a:t>Metodología para el Cálculo:</a:t>
          </a:r>
        </a:p>
      </xdr:txBody>
    </xdr:sp>
    <xdr:clientData/>
  </xdr:twoCellAnchor>
  <xdr:twoCellAnchor>
    <xdr:from>
      <xdr:col>0</xdr:col>
      <xdr:colOff>733426</xdr:colOff>
      <xdr:row>8</xdr:row>
      <xdr:rowOff>66674</xdr:rowOff>
    </xdr:from>
    <xdr:to>
      <xdr:col>6</xdr:col>
      <xdr:colOff>219076</xdr:colOff>
      <xdr:row>27</xdr:row>
      <xdr:rowOff>123824</xdr:rowOff>
    </xdr:to>
    <xdr:sp macro="" textlink="">
      <xdr:nvSpPr>
        <xdr:cNvPr id="24578" name="Text Box 2"/>
        <xdr:cNvSpPr txBox="1">
          <a:spLocks noChangeArrowheads="1"/>
        </xdr:cNvSpPr>
      </xdr:nvSpPr>
      <xdr:spPr bwMode="auto">
        <a:xfrm>
          <a:off x="733426" y="1400174"/>
          <a:ext cx="4057650" cy="3133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Tasa de Prevalencia Puntual:</a:t>
          </a: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Numero de casos en tratamiento entre la población total en el período por 10,000.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Diagnóstico Oportuno: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nuevos sin discapacidad entre el total de casos nuevos evaluados y diagnosticados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Calidad en el Diagnóstico: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nuevos con Bk + Hp entre el total de casos nuevos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Cobertura de Tratamiento: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Casos con </a:t>
          </a: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PQT</a:t>
          </a: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 entre el total de casos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1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* Examen de Contactos:</a:t>
          </a: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r>
            <a:rPr lang="es-ES" sz="1100" b="0" i="0" u="none" strike="noStrike" baseline="0">
              <a:solidFill>
                <a:sysClr val="windowText" lastClr="000000"/>
              </a:solidFill>
              <a:latin typeface="+mj-lt"/>
              <a:cs typeface="Arial"/>
            </a:rPr>
            <a:t>Número de contactos examinados entre el total de contactos registrados por 100.</a:t>
          </a: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  <a:p>
          <a:pPr algn="just" rtl="0">
            <a:defRPr sz="1000"/>
          </a:pPr>
          <a:endParaRPr lang="es-ES" sz="1100" b="0" i="0" u="none" strike="noStrike" baseline="0">
            <a:solidFill>
              <a:sysClr val="windowText" lastClr="000000"/>
            </a:solidFill>
            <a:latin typeface="+mj-lt"/>
            <a:cs typeface="Arial"/>
          </a:endParaRPr>
        </a:p>
      </xdr:txBody>
    </xdr:sp>
    <xdr:clientData/>
  </xdr:twoCellAnchor>
  <xdr:twoCellAnchor editAs="oneCell">
    <xdr:from>
      <xdr:col>0</xdr:col>
      <xdr:colOff>0</xdr:colOff>
      <xdr:row>41</xdr:row>
      <xdr:rowOff>47625</xdr:rowOff>
    </xdr:from>
    <xdr:to>
      <xdr:col>6</xdr:col>
      <xdr:colOff>733425</xdr:colOff>
      <xdr:row>45</xdr:row>
      <xdr:rowOff>0</xdr:rowOff>
    </xdr:to>
    <xdr:sp macro="" textlink="">
      <xdr:nvSpPr>
        <xdr:cNvPr id="24693" name="Text Box 11"/>
        <xdr:cNvSpPr txBox="1">
          <a:spLocks noChangeArrowheads="1"/>
        </xdr:cNvSpPr>
      </xdr:nvSpPr>
      <xdr:spPr bwMode="auto">
        <a:xfrm>
          <a:off x="0" y="6991350"/>
          <a:ext cx="5305425" cy="600075"/>
        </a:xfrm>
        <a:prstGeom prst="rect">
          <a:avLst/>
        </a:prstGeom>
        <a:solidFill>
          <a:srgbClr val="E9FFBD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9525</xdr:colOff>
      <xdr:row>46</xdr:row>
      <xdr:rowOff>0</xdr:rowOff>
    </xdr:from>
    <xdr:to>
      <xdr:col>6</xdr:col>
      <xdr:colOff>742950</xdr:colOff>
      <xdr:row>50</xdr:row>
      <xdr:rowOff>0</xdr:rowOff>
    </xdr:to>
    <xdr:sp macro="" textlink="">
      <xdr:nvSpPr>
        <xdr:cNvPr id="24588" name="Text Box 12"/>
        <xdr:cNvSpPr txBox="1">
          <a:spLocks noChangeArrowheads="1"/>
        </xdr:cNvSpPr>
      </xdr:nvSpPr>
      <xdr:spPr bwMode="auto">
        <a:xfrm>
          <a:off x="9525" y="7686675"/>
          <a:ext cx="5305425" cy="647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Para mayor información sobre este contenido comunicarse a los teléfonos: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(01961) 61-26375; (01961) 61-89250 Ext. 44220</a:t>
          </a:r>
        </a:p>
        <a:p>
          <a:pPr algn="ctr" rtl="0">
            <a:defRPr sz="1000"/>
          </a:pPr>
          <a:r>
            <a:rPr lang="es-ES" sz="1000" b="0" i="0" u="none" strike="noStrike" baseline="0">
              <a:solidFill>
                <a:srgbClr val="333300"/>
              </a:solidFill>
              <a:latin typeface="Arial"/>
              <a:cs typeface="Arial"/>
            </a:rPr>
            <a:t>emails: cie.central@gmail.com  cie.desarrollo@gmail.com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">
      <a:majorFont>
        <a:latin typeface="Calibri"/>
        <a:ea typeface=""/>
        <a:cs typeface=""/>
        <a:font script="Jpan" typeface="HGｺﾞｼｯｸM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ambria"/>
        <a:ea typeface=""/>
        <a:cs typeface=""/>
        <a:font script="Jpan" typeface="HG明朝B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4"/>
  <sheetViews>
    <sheetView tabSelected="1" workbookViewId="0">
      <selection sqref="A1:A3"/>
    </sheetView>
  </sheetViews>
  <sheetFormatPr baseColWidth="10" defaultRowHeight="14.25"/>
  <cols>
    <col min="1" max="1" width="21" style="228" customWidth="1"/>
    <col min="2" max="256" width="11.42578125" style="228"/>
    <col min="257" max="257" width="21" style="228" customWidth="1"/>
    <col min="258" max="512" width="11.42578125" style="228"/>
    <col min="513" max="513" width="21" style="228" customWidth="1"/>
    <col min="514" max="768" width="11.42578125" style="228"/>
    <col min="769" max="769" width="21" style="228" customWidth="1"/>
    <col min="770" max="1024" width="11.42578125" style="228"/>
    <col min="1025" max="1025" width="21" style="228" customWidth="1"/>
    <col min="1026" max="1280" width="11.42578125" style="228"/>
    <col min="1281" max="1281" width="21" style="228" customWidth="1"/>
    <col min="1282" max="1536" width="11.42578125" style="228"/>
    <col min="1537" max="1537" width="21" style="228" customWidth="1"/>
    <col min="1538" max="1792" width="11.42578125" style="228"/>
    <col min="1793" max="1793" width="21" style="228" customWidth="1"/>
    <col min="1794" max="2048" width="11.42578125" style="228"/>
    <col min="2049" max="2049" width="21" style="228" customWidth="1"/>
    <col min="2050" max="2304" width="11.42578125" style="228"/>
    <col min="2305" max="2305" width="21" style="228" customWidth="1"/>
    <col min="2306" max="2560" width="11.42578125" style="228"/>
    <col min="2561" max="2561" width="21" style="228" customWidth="1"/>
    <col min="2562" max="2816" width="11.42578125" style="228"/>
    <col min="2817" max="2817" width="21" style="228" customWidth="1"/>
    <col min="2818" max="3072" width="11.42578125" style="228"/>
    <col min="3073" max="3073" width="21" style="228" customWidth="1"/>
    <col min="3074" max="3328" width="11.42578125" style="228"/>
    <col min="3329" max="3329" width="21" style="228" customWidth="1"/>
    <col min="3330" max="3584" width="11.42578125" style="228"/>
    <col min="3585" max="3585" width="21" style="228" customWidth="1"/>
    <col min="3586" max="3840" width="11.42578125" style="228"/>
    <col min="3841" max="3841" width="21" style="228" customWidth="1"/>
    <col min="3842" max="4096" width="11.42578125" style="228"/>
    <col min="4097" max="4097" width="21" style="228" customWidth="1"/>
    <col min="4098" max="4352" width="11.42578125" style="228"/>
    <col min="4353" max="4353" width="21" style="228" customWidth="1"/>
    <col min="4354" max="4608" width="11.42578125" style="228"/>
    <col min="4609" max="4609" width="21" style="228" customWidth="1"/>
    <col min="4610" max="4864" width="11.42578125" style="228"/>
    <col min="4865" max="4865" width="21" style="228" customWidth="1"/>
    <col min="4866" max="5120" width="11.42578125" style="228"/>
    <col min="5121" max="5121" width="21" style="228" customWidth="1"/>
    <col min="5122" max="5376" width="11.42578125" style="228"/>
    <col min="5377" max="5377" width="21" style="228" customWidth="1"/>
    <col min="5378" max="5632" width="11.42578125" style="228"/>
    <col min="5633" max="5633" width="21" style="228" customWidth="1"/>
    <col min="5634" max="5888" width="11.42578125" style="228"/>
    <col min="5889" max="5889" width="21" style="228" customWidth="1"/>
    <col min="5890" max="6144" width="11.42578125" style="228"/>
    <col min="6145" max="6145" width="21" style="228" customWidth="1"/>
    <col min="6146" max="6400" width="11.42578125" style="228"/>
    <col min="6401" max="6401" width="21" style="228" customWidth="1"/>
    <col min="6402" max="6656" width="11.42578125" style="228"/>
    <col min="6657" max="6657" width="21" style="228" customWidth="1"/>
    <col min="6658" max="6912" width="11.42578125" style="228"/>
    <col min="6913" max="6913" width="21" style="228" customWidth="1"/>
    <col min="6914" max="7168" width="11.42578125" style="228"/>
    <col min="7169" max="7169" width="21" style="228" customWidth="1"/>
    <col min="7170" max="7424" width="11.42578125" style="228"/>
    <col min="7425" max="7425" width="21" style="228" customWidth="1"/>
    <col min="7426" max="7680" width="11.42578125" style="228"/>
    <col min="7681" max="7681" width="21" style="228" customWidth="1"/>
    <col min="7682" max="7936" width="11.42578125" style="228"/>
    <col min="7937" max="7937" width="21" style="228" customWidth="1"/>
    <col min="7938" max="8192" width="11.42578125" style="228"/>
    <col min="8193" max="8193" width="21" style="228" customWidth="1"/>
    <col min="8194" max="8448" width="11.42578125" style="228"/>
    <col min="8449" max="8449" width="21" style="228" customWidth="1"/>
    <col min="8450" max="8704" width="11.42578125" style="228"/>
    <col min="8705" max="8705" width="21" style="228" customWidth="1"/>
    <col min="8706" max="8960" width="11.42578125" style="228"/>
    <col min="8961" max="8961" width="21" style="228" customWidth="1"/>
    <col min="8962" max="9216" width="11.42578125" style="228"/>
    <col min="9217" max="9217" width="21" style="228" customWidth="1"/>
    <col min="9218" max="9472" width="11.42578125" style="228"/>
    <col min="9473" max="9473" width="21" style="228" customWidth="1"/>
    <col min="9474" max="9728" width="11.42578125" style="228"/>
    <col min="9729" max="9729" width="21" style="228" customWidth="1"/>
    <col min="9730" max="9984" width="11.42578125" style="228"/>
    <col min="9985" max="9985" width="21" style="228" customWidth="1"/>
    <col min="9986" max="10240" width="11.42578125" style="228"/>
    <col min="10241" max="10241" width="21" style="228" customWidth="1"/>
    <col min="10242" max="10496" width="11.42578125" style="228"/>
    <col min="10497" max="10497" width="21" style="228" customWidth="1"/>
    <col min="10498" max="10752" width="11.42578125" style="228"/>
    <col min="10753" max="10753" width="21" style="228" customWidth="1"/>
    <col min="10754" max="11008" width="11.42578125" style="228"/>
    <col min="11009" max="11009" width="21" style="228" customWidth="1"/>
    <col min="11010" max="11264" width="11.42578125" style="228"/>
    <col min="11265" max="11265" width="21" style="228" customWidth="1"/>
    <col min="11266" max="11520" width="11.42578125" style="228"/>
    <col min="11521" max="11521" width="21" style="228" customWidth="1"/>
    <col min="11522" max="11776" width="11.42578125" style="228"/>
    <col min="11777" max="11777" width="21" style="228" customWidth="1"/>
    <col min="11778" max="12032" width="11.42578125" style="228"/>
    <col min="12033" max="12033" width="21" style="228" customWidth="1"/>
    <col min="12034" max="12288" width="11.42578125" style="228"/>
    <col min="12289" max="12289" width="21" style="228" customWidth="1"/>
    <col min="12290" max="12544" width="11.42578125" style="228"/>
    <col min="12545" max="12545" width="21" style="228" customWidth="1"/>
    <col min="12546" max="12800" width="11.42578125" style="228"/>
    <col min="12801" max="12801" width="21" style="228" customWidth="1"/>
    <col min="12802" max="13056" width="11.42578125" style="228"/>
    <col min="13057" max="13057" width="21" style="228" customWidth="1"/>
    <col min="13058" max="13312" width="11.42578125" style="228"/>
    <col min="13313" max="13313" width="21" style="228" customWidth="1"/>
    <col min="13314" max="13568" width="11.42578125" style="228"/>
    <col min="13569" max="13569" width="21" style="228" customWidth="1"/>
    <col min="13570" max="13824" width="11.42578125" style="228"/>
    <col min="13825" max="13825" width="21" style="228" customWidth="1"/>
    <col min="13826" max="14080" width="11.42578125" style="228"/>
    <col min="14081" max="14081" width="21" style="228" customWidth="1"/>
    <col min="14082" max="14336" width="11.42578125" style="228"/>
    <col min="14337" max="14337" width="21" style="228" customWidth="1"/>
    <col min="14338" max="14592" width="11.42578125" style="228"/>
    <col min="14593" max="14593" width="21" style="228" customWidth="1"/>
    <col min="14594" max="14848" width="11.42578125" style="228"/>
    <col min="14849" max="14849" width="21" style="228" customWidth="1"/>
    <col min="14850" max="15104" width="11.42578125" style="228"/>
    <col min="15105" max="15105" width="21" style="228" customWidth="1"/>
    <col min="15106" max="15360" width="11.42578125" style="228"/>
    <col min="15361" max="15361" width="21" style="228" customWidth="1"/>
    <col min="15362" max="15616" width="11.42578125" style="228"/>
    <col min="15617" max="15617" width="21" style="228" customWidth="1"/>
    <col min="15618" max="15872" width="11.42578125" style="228"/>
    <col min="15873" max="15873" width="21" style="228" customWidth="1"/>
    <col min="15874" max="16128" width="11.42578125" style="228"/>
    <col min="16129" max="16129" width="21" style="228" customWidth="1"/>
    <col min="16130" max="16384" width="11.42578125" style="228"/>
  </cols>
  <sheetData>
    <row r="1" spans="1:17">
      <c r="A1" s="241"/>
      <c r="B1" s="242" t="s">
        <v>78</v>
      </c>
      <c r="C1" s="242"/>
      <c r="D1" s="242"/>
      <c r="E1" s="242"/>
      <c r="F1" s="242"/>
      <c r="G1" s="242"/>
      <c r="H1" s="242"/>
      <c r="I1" s="243"/>
      <c r="J1" s="244" t="s">
        <v>93</v>
      </c>
      <c r="K1" s="245"/>
      <c r="L1" s="245"/>
      <c r="M1" s="245"/>
      <c r="N1" s="245"/>
      <c r="O1" s="245"/>
      <c r="P1" s="246"/>
      <c r="Q1" s="227"/>
    </row>
    <row r="2" spans="1:17" ht="15" customHeight="1">
      <c r="A2" s="241"/>
      <c r="B2" s="247" t="s">
        <v>64</v>
      </c>
      <c r="C2" s="248"/>
      <c r="D2" s="249" t="s">
        <v>65</v>
      </c>
      <c r="E2" s="248"/>
      <c r="F2" s="249" t="s">
        <v>66</v>
      </c>
      <c r="G2" s="248"/>
      <c r="H2" s="249" t="s">
        <v>67</v>
      </c>
      <c r="I2" s="248"/>
      <c r="J2" s="239" t="s">
        <v>64</v>
      </c>
      <c r="K2" s="240"/>
      <c r="L2" s="239" t="s">
        <v>65</v>
      </c>
      <c r="M2" s="240"/>
      <c r="N2" s="239" t="s">
        <v>66</v>
      </c>
      <c r="O2" s="240"/>
      <c r="P2" s="239" t="s">
        <v>67</v>
      </c>
      <c r="Q2" s="240"/>
    </row>
    <row r="3" spans="1:17" ht="56.25">
      <c r="A3" s="241"/>
      <c r="B3" s="229" t="s">
        <v>94</v>
      </c>
      <c r="C3" s="230" t="s">
        <v>95</v>
      </c>
      <c r="D3" s="230" t="s">
        <v>96</v>
      </c>
      <c r="E3" s="230" t="s">
        <v>97</v>
      </c>
      <c r="F3" s="230" t="s">
        <v>98</v>
      </c>
      <c r="G3" s="230" t="s">
        <v>97</v>
      </c>
      <c r="H3" s="230" t="s">
        <v>99</v>
      </c>
      <c r="I3" s="230" t="s">
        <v>100</v>
      </c>
      <c r="J3" s="231" t="s">
        <v>94</v>
      </c>
      <c r="K3" s="231" t="s">
        <v>95</v>
      </c>
      <c r="L3" s="231" t="s">
        <v>96</v>
      </c>
      <c r="M3" s="231" t="s">
        <v>97</v>
      </c>
      <c r="N3" s="231" t="s">
        <v>98</v>
      </c>
      <c r="O3" s="231" t="s">
        <v>97</v>
      </c>
      <c r="P3" s="231" t="s">
        <v>99</v>
      </c>
      <c r="Q3" s="231" t="s">
        <v>100</v>
      </c>
    </row>
    <row r="4" spans="1:17" ht="15">
      <c r="A4" s="232" t="s">
        <v>101</v>
      </c>
      <c r="B4" s="238"/>
      <c r="C4" s="238"/>
      <c r="D4" s="238"/>
      <c r="E4" s="238"/>
      <c r="F4" s="238"/>
      <c r="G4" s="238"/>
      <c r="H4" s="238"/>
      <c r="I4" s="238"/>
      <c r="J4" s="238"/>
      <c r="K4" s="238"/>
      <c r="L4" s="238"/>
      <c r="M4" s="238"/>
      <c r="N4" s="238"/>
      <c r="O4" s="238"/>
      <c r="P4" s="238"/>
      <c r="Q4" s="238"/>
    </row>
    <row r="5" spans="1:17" ht="15">
      <c r="A5" s="232" t="s">
        <v>30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  <c r="L5" s="238"/>
      <c r="M5" s="238"/>
      <c r="N5" s="238"/>
      <c r="O5" s="238"/>
      <c r="P5" s="238"/>
      <c r="Q5" s="238"/>
    </row>
    <row r="6" spans="1:17" ht="15">
      <c r="A6" s="232" t="s">
        <v>8</v>
      </c>
      <c r="B6" s="238"/>
      <c r="C6" s="238"/>
      <c r="D6" s="238"/>
      <c r="E6" s="238"/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</row>
    <row r="7" spans="1:17" ht="15">
      <c r="A7" s="232" t="s">
        <v>9</v>
      </c>
      <c r="B7" s="238"/>
      <c r="C7" s="238"/>
      <c r="D7" s="238"/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</row>
    <row r="8" spans="1:17" ht="15">
      <c r="A8" s="232" t="s">
        <v>10</v>
      </c>
      <c r="B8" s="238"/>
      <c r="C8" s="238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</row>
    <row r="9" spans="1:17" ht="15">
      <c r="A9" s="232" t="s">
        <v>11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</row>
    <row r="10" spans="1:17" ht="15">
      <c r="A10" s="232" t="s">
        <v>12</v>
      </c>
      <c r="B10" s="238"/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</row>
    <row r="11" spans="1:17" ht="15">
      <c r="A11" s="232" t="s">
        <v>13</v>
      </c>
      <c r="B11" s="238"/>
      <c r="C11" s="238"/>
      <c r="D11" s="238"/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</row>
    <row r="12" spans="1:17" ht="15">
      <c r="A12" s="232" t="s">
        <v>14</v>
      </c>
      <c r="B12" s="238"/>
      <c r="C12" s="238"/>
      <c r="D12" s="238"/>
      <c r="E12" s="238"/>
      <c r="F12" s="238"/>
      <c r="G12" s="238"/>
      <c r="H12" s="238"/>
      <c r="I12" s="238"/>
      <c r="J12" s="238"/>
      <c r="K12" s="238"/>
      <c r="L12" s="238"/>
      <c r="M12" s="238"/>
      <c r="N12" s="238"/>
      <c r="O12" s="238"/>
      <c r="P12" s="238"/>
      <c r="Q12" s="238"/>
    </row>
    <row r="13" spans="1:17" ht="15">
      <c r="A13" s="232" t="s">
        <v>15</v>
      </c>
      <c r="B13" s="238"/>
      <c r="C13" s="238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</row>
    <row r="14" spans="1:17" ht="15">
      <c r="A14" s="232" t="s">
        <v>16</v>
      </c>
      <c r="B14" s="238"/>
      <c r="C14" s="238"/>
      <c r="D14" s="238"/>
      <c r="E14" s="238"/>
      <c r="F14" s="238"/>
      <c r="G14" s="238"/>
      <c r="H14" s="238"/>
      <c r="I14" s="238"/>
      <c r="J14" s="238"/>
      <c r="K14" s="238"/>
      <c r="L14" s="238"/>
      <c r="M14" s="238"/>
      <c r="N14" s="238"/>
      <c r="O14" s="238"/>
      <c r="P14" s="238"/>
      <c r="Q14" s="238"/>
    </row>
  </sheetData>
  <mergeCells count="11">
    <mergeCell ref="P2:Q2"/>
    <mergeCell ref="A1:A3"/>
    <mergeCell ref="B1:I1"/>
    <mergeCell ref="J1:P1"/>
    <mergeCell ref="B2:C2"/>
    <mergeCell ref="D2:E2"/>
    <mergeCell ref="F2:G2"/>
    <mergeCell ref="H2:I2"/>
    <mergeCell ref="J2:K2"/>
    <mergeCell ref="L2:M2"/>
    <mergeCell ref="N2:O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4"/>
  <sheetViews>
    <sheetView workbookViewId="0">
      <selection activeCell="B4" sqref="B4"/>
    </sheetView>
  </sheetViews>
  <sheetFormatPr baseColWidth="10" defaultRowHeight="14.25"/>
  <cols>
    <col min="1" max="1" width="23" style="228" customWidth="1"/>
    <col min="2" max="9" width="11.85546875" style="228" customWidth="1"/>
    <col min="10" max="256" width="11.42578125" style="228"/>
    <col min="257" max="257" width="23" style="228" customWidth="1"/>
    <col min="258" max="265" width="11.85546875" style="228" customWidth="1"/>
    <col min="266" max="512" width="11.42578125" style="228"/>
    <col min="513" max="513" width="23" style="228" customWidth="1"/>
    <col min="514" max="521" width="11.85546875" style="228" customWidth="1"/>
    <col min="522" max="768" width="11.42578125" style="228"/>
    <col min="769" max="769" width="23" style="228" customWidth="1"/>
    <col min="770" max="777" width="11.85546875" style="228" customWidth="1"/>
    <col min="778" max="1024" width="11.42578125" style="228"/>
    <col min="1025" max="1025" width="23" style="228" customWidth="1"/>
    <col min="1026" max="1033" width="11.85546875" style="228" customWidth="1"/>
    <col min="1034" max="1280" width="11.42578125" style="228"/>
    <col min="1281" max="1281" width="23" style="228" customWidth="1"/>
    <col min="1282" max="1289" width="11.85546875" style="228" customWidth="1"/>
    <col min="1290" max="1536" width="11.42578125" style="228"/>
    <col min="1537" max="1537" width="23" style="228" customWidth="1"/>
    <col min="1538" max="1545" width="11.85546875" style="228" customWidth="1"/>
    <col min="1546" max="1792" width="11.42578125" style="228"/>
    <col min="1793" max="1793" width="23" style="228" customWidth="1"/>
    <col min="1794" max="1801" width="11.85546875" style="228" customWidth="1"/>
    <col min="1802" max="2048" width="11.42578125" style="228"/>
    <col min="2049" max="2049" width="23" style="228" customWidth="1"/>
    <col min="2050" max="2057" width="11.85546875" style="228" customWidth="1"/>
    <col min="2058" max="2304" width="11.42578125" style="228"/>
    <col min="2305" max="2305" width="23" style="228" customWidth="1"/>
    <col min="2306" max="2313" width="11.85546875" style="228" customWidth="1"/>
    <col min="2314" max="2560" width="11.42578125" style="228"/>
    <col min="2561" max="2561" width="23" style="228" customWidth="1"/>
    <col min="2562" max="2569" width="11.85546875" style="228" customWidth="1"/>
    <col min="2570" max="2816" width="11.42578125" style="228"/>
    <col min="2817" max="2817" width="23" style="228" customWidth="1"/>
    <col min="2818" max="2825" width="11.85546875" style="228" customWidth="1"/>
    <col min="2826" max="3072" width="11.42578125" style="228"/>
    <col min="3073" max="3073" width="23" style="228" customWidth="1"/>
    <col min="3074" max="3081" width="11.85546875" style="228" customWidth="1"/>
    <col min="3082" max="3328" width="11.42578125" style="228"/>
    <col min="3329" max="3329" width="23" style="228" customWidth="1"/>
    <col min="3330" max="3337" width="11.85546875" style="228" customWidth="1"/>
    <col min="3338" max="3584" width="11.42578125" style="228"/>
    <col min="3585" max="3585" width="23" style="228" customWidth="1"/>
    <col min="3586" max="3593" width="11.85546875" style="228" customWidth="1"/>
    <col min="3594" max="3840" width="11.42578125" style="228"/>
    <col min="3841" max="3841" width="23" style="228" customWidth="1"/>
    <col min="3842" max="3849" width="11.85546875" style="228" customWidth="1"/>
    <col min="3850" max="4096" width="11.42578125" style="228"/>
    <col min="4097" max="4097" width="23" style="228" customWidth="1"/>
    <col min="4098" max="4105" width="11.85546875" style="228" customWidth="1"/>
    <col min="4106" max="4352" width="11.42578125" style="228"/>
    <col min="4353" max="4353" width="23" style="228" customWidth="1"/>
    <col min="4354" max="4361" width="11.85546875" style="228" customWidth="1"/>
    <col min="4362" max="4608" width="11.42578125" style="228"/>
    <col min="4609" max="4609" width="23" style="228" customWidth="1"/>
    <col min="4610" max="4617" width="11.85546875" style="228" customWidth="1"/>
    <col min="4618" max="4864" width="11.42578125" style="228"/>
    <col min="4865" max="4865" width="23" style="228" customWidth="1"/>
    <col min="4866" max="4873" width="11.85546875" style="228" customWidth="1"/>
    <col min="4874" max="5120" width="11.42578125" style="228"/>
    <col min="5121" max="5121" width="23" style="228" customWidth="1"/>
    <col min="5122" max="5129" width="11.85546875" style="228" customWidth="1"/>
    <col min="5130" max="5376" width="11.42578125" style="228"/>
    <col min="5377" max="5377" width="23" style="228" customWidth="1"/>
    <col min="5378" max="5385" width="11.85546875" style="228" customWidth="1"/>
    <col min="5386" max="5632" width="11.42578125" style="228"/>
    <col min="5633" max="5633" width="23" style="228" customWidth="1"/>
    <col min="5634" max="5641" width="11.85546875" style="228" customWidth="1"/>
    <col min="5642" max="5888" width="11.42578125" style="228"/>
    <col min="5889" max="5889" width="23" style="228" customWidth="1"/>
    <col min="5890" max="5897" width="11.85546875" style="228" customWidth="1"/>
    <col min="5898" max="6144" width="11.42578125" style="228"/>
    <col min="6145" max="6145" width="23" style="228" customWidth="1"/>
    <col min="6146" max="6153" width="11.85546875" style="228" customWidth="1"/>
    <col min="6154" max="6400" width="11.42578125" style="228"/>
    <col min="6401" max="6401" width="23" style="228" customWidth="1"/>
    <col min="6402" max="6409" width="11.85546875" style="228" customWidth="1"/>
    <col min="6410" max="6656" width="11.42578125" style="228"/>
    <col min="6657" max="6657" width="23" style="228" customWidth="1"/>
    <col min="6658" max="6665" width="11.85546875" style="228" customWidth="1"/>
    <col min="6666" max="6912" width="11.42578125" style="228"/>
    <col min="6913" max="6913" width="23" style="228" customWidth="1"/>
    <col min="6914" max="6921" width="11.85546875" style="228" customWidth="1"/>
    <col min="6922" max="7168" width="11.42578125" style="228"/>
    <col min="7169" max="7169" width="23" style="228" customWidth="1"/>
    <col min="7170" max="7177" width="11.85546875" style="228" customWidth="1"/>
    <col min="7178" max="7424" width="11.42578125" style="228"/>
    <col min="7425" max="7425" width="23" style="228" customWidth="1"/>
    <col min="7426" max="7433" width="11.85546875" style="228" customWidth="1"/>
    <col min="7434" max="7680" width="11.42578125" style="228"/>
    <col min="7681" max="7681" width="23" style="228" customWidth="1"/>
    <col min="7682" max="7689" width="11.85546875" style="228" customWidth="1"/>
    <col min="7690" max="7936" width="11.42578125" style="228"/>
    <col min="7937" max="7937" width="23" style="228" customWidth="1"/>
    <col min="7938" max="7945" width="11.85546875" style="228" customWidth="1"/>
    <col min="7946" max="8192" width="11.42578125" style="228"/>
    <col min="8193" max="8193" width="23" style="228" customWidth="1"/>
    <col min="8194" max="8201" width="11.85546875" style="228" customWidth="1"/>
    <col min="8202" max="8448" width="11.42578125" style="228"/>
    <col min="8449" max="8449" width="23" style="228" customWidth="1"/>
    <col min="8450" max="8457" width="11.85546875" style="228" customWidth="1"/>
    <col min="8458" max="8704" width="11.42578125" style="228"/>
    <col min="8705" max="8705" width="23" style="228" customWidth="1"/>
    <col min="8706" max="8713" width="11.85546875" style="228" customWidth="1"/>
    <col min="8714" max="8960" width="11.42578125" style="228"/>
    <col min="8961" max="8961" width="23" style="228" customWidth="1"/>
    <col min="8962" max="8969" width="11.85546875" style="228" customWidth="1"/>
    <col min="8970" max="9216" width="11.42578125" style="228"/>
    <col min="9217" max="9217" width="23" style="228" customWidth="1"/>
    <col min="9218" max="9225" width="11.85546875" style="228" customWidth="1"/>
    <col min="9226" max="9472" width="11.42578125" style="228"/>
    <col min="9473" max="9473" width="23" style="228" customWidth="1"/>
    <col min="9474" max="9481" width="11.85546875" style="228" customWidth="1"/>
    <col min="9482" max="9728" width="11.42578125" style="228"/>
    <col min="9729" max="9729" width="23" style="228" customWidth="1"/>
    <col min="9730" max="9737" width="11.85546875" style="228" customWidth="1"/>
    <col min="9738" max="9984" width="11.42578125" style="228"/>
    <col min="9985" max="9985" width="23" style="228" customWidth="1"/>
    <col min="9986" max="9993" width="11.85546875" style="228" customWidth="1"/>
    <col min="9994" max="10240" width="11.42578125" style="228"/>
    <col min="10241" max="10241" width="23" style="228" customWidth="1"/>
    <col min="10242" max="10249" width="11.85546875" style="228" customWidth="1"/>
    <col min="10250" max="10496" width="11.42578125" style="228"/>
    <col min="10497" max="10497" width="23" style="228" customWidth="1"/>
    <col min="10498" max="10505" width="11.85546875" style="228" customWidth="1"/>
    <col min="10506" max="10752" width="11.42578125" style="228"/>
    <col min="10753" max="10753" width="23" style="228" customWidth="1"/>
    <col min="10754" max="10761" width="11.85546875" style="228" customWidth="1"/>
    <col min="10762" max="11008" width="11.42578125" style="228"/>
    <col min="11009" max="11009" width="23" style="228" customWidth="1"/>
    <col min="11010" max="11017" width="11.85546875" style="228" customWidth="1"/>
    <col min="11018" max="11264" width="11.42578125" style="228"/>
    <col min="11265" max="11265" width="23" style="228" customWidth="1"/>
    <col min="11266" max="11273" width="11.85546875" style="228" customWidth="1"/>
    <col min="11274" max="11520" width="11.42578125" style="228"/>
    <col min="11521" max="11521" width="23" style="228" customWidth="1"/>
    <col min="11522" max="11529" width="11.85546875" style="228" customWidth="1"/>
    <col min="11530" max="11776" width="11.42578125" style="228"/>
    <col min="11777" max="11777" width="23" style="228" customWidth="1"/>
    <col min="11778" max="11785" width="11.85546875" style="228" customWidth="1"/>
    <col min="11786" max="12032" width="11.42578125" style="228"/>
    <col min="12033" max="12033" width="23" style="228" customWidth="1"/>
    <col min="12034" max="12041" width="11.85546875" style="228" customWidth="1"/>
    <col min="12042" max="12288" width="11.42578125" style="228"/>
    <col min="12289" max="12289" width="23" style="228" customWidth="1"/>
    <col min="12290" max="12297" width="11.85546875" style="228" customWidth="1"/>
    <col min="12298" max="12544" width="11.42578125" style="228"/>
    <col min="12545" max="12545" width="23" style="228" customWidth="1"/>
    <col min="12546" max="12553" width="11.85546875" style="228" customWidth="1"/>
    <col min="12554" max="12800" width="11.42578125" style="228"/>
    <col min="12801" max="12801" width="23" style="228" customWidth="1"/>
    <col min="12802" max="12809" width="11.85546875" style="228" customWidth="1"/>
    <col min="12810" max="13056" width="11.42578125" style="228"/>
    <col min="13057" max="13057" width="23" style="228" customWidth="1"/>
    <col min="13058" max="13065" width="11.85546875" style="228" customWidth="1"/>
    <col min="13066" max="13312" width="11.42578125" style="228"/>
    <col min="13313" max="13313" width="23" style="228" customWidth="1"/>
    <col min="13314" max="13321" width="11.85546875" style="228" customWidth="1"/>
    <col min="13322" max="13568" width="11.42578125" style="228"/>
    <col min="13569" max="13569" width="23" style="228" customWidth="1"/>
    <col min="13570" max="13577" width="11.85546875" style="228" customWidth="1"/>
    <col min="13578" max="13824" width="11.42578125" style="228"/>
    <col min="13825" max="13825" width="23" style="228" customWidth="1"/>
    <col min="13826" max="13833" width="11.85546875" style="228" customWidth="1"/>
    <col min="13834" max="14080" width="11.42578125" style="228"/>
    <col min="14081" max="14081" width="23" style="228" customWidth="1"/>
    <col min="14082" max="14089" width="11.85546875" style="228" customWidth="1"/>
    <col min="14090" max="14336" width="11.42578125" style="228"/>
    <col min="14337" max="14337" width="23" style="228" customWidth="1"/>
    <col min="14338" max="14345" width="11.85546875" style="228" customWidth="1"/>
    <col min="14346" max="14592" width="11.42578125" style="228"/>
    <col min="14593" max="14593" width="23" style="228" customWidth="1"/>
    <col min="14594" max="14601" width="11.85546875" style="228" customWidth="1"/>
    <col min="14602" max="14848" width="11.42578125" style="228"/>
    <col min="14849" max="14849" width="23" style="228" customWidth="1"/>
    <col min="14850" max="14857" width="11.85546875" style="228" customWidth="1"/>
    <col min="14858" max="15104" width="11.42578125" style="228"/>
    <col min="15105" max="15105" width="23" style="228" customWidth="1"/>
    <col min="15106" max="15113" width="11.85546875" style="228" customWidth="1"/>
    <col min="15114" max="15360" width="11.42578125" style="228"/>
    <col min="15361" max="15361" width="23" style="228" customWidth="1"/>
    <col min="15362" max="15369" width="11.85546875" style="228" customWidth="1"/>
    <col min="15370" max="15616" width="11.42578125" style="228"/>
    <col min="15617" max="15617" width="23" style="228" customWidth="1"/>
    <col min="15618" max="15625" width="11.85546875" style="228" customWidth="1"/>
    <col min="15626" max="15872" width="11.42578125" style="228"/>
    <col min="15873" max="15873" width="23" style="228" customWidth="1"/>
    <col min="15874" max="15881" width="11.85546875" style="228" customWidth="1"/>
    <col min="15882" max="16128" width="11.42578125" style="228"/>
    <col min="16129" max="16129" width="23" style="228" customWidth="1"/>
    <col min="16130" max="16137" width="11.85546875" style="228" customWidth="1"/>
    <col min="16138" max="16384" width="11.42578125" style="228"/>
  </cols>
  <sheetData>
    <row r="1" spans="1:9" ht="18.75">
      <c r="A1" s="250" t="s">
        <v>63</v>
      </c>
      <c r="B1" s="250"/>
      <c r="C1" s="250"/>
      <c r="D1" s="250"/>
      <c r="E1" s="250"/>
      <c r="F1" s="250"/>
      <c r="G1" s="250"/>
      <c r="H1" s="250"/>
      <c r="I1" s="250"/>
    </row>
    <row r="2" spans="1:9" s="235" customFormat="1" ht="11.25">
      <c r="A2" s="234"/>
      <c r="B2" s="242" t="s">
        <v>102</v>
      </c>
      <c r="C2" s="242"/>
      <c r="D2" s="242"/>
      <c r="E2" s="243"/>
      <c r="F2" s="244" t="s">
        <v>93</v>
      </c>
      <c r="G2" s="245"/>
      <c r="H2" s="245"/>
      <c r="I2" s="246"/>
    </row>
    <row r="3" spans="1:9" s="235" customFormat="1" ht="22.5">
      <c r="A3" s="236"/>
      <c r="B3" s="230" t="s">
        <v>64</v>
      </c>
      <c r="C3" s="230" t="s">
        <v>65</v>
      </c>
      <c r="D3" s="230" t="s">
        <v>66</v>
      </c>
      <c r="E3" s="230" t="s">
        <v>67</v>
      </c>
      <c r="F3" s="231" t="s">
        <v>64</v>
      </c>
      <c r="G3" s="231" t="s">
        <v>65</v>
      </c>
      <c r="H3" s="231" t="s">
        <v>66</v>
      </c>
      <c r="I3" s="231" t="s">
        <v>67</v>
      </c>
    </row>
    <row r="4" spans="1:9" ht="15">
      <c r="A4" s="232" t="s">
        <v>101</v>
      </c>
      <c r="B4" s="233" t="e">
        <f>(CAPTURA!B4/CAPTURA!C4)*100</f>
        <v>#DIV/0!</v>
      </c>
      <c r="C4" s="233" t="e">
        <f>(CAPTURA!D4/CAPTURA!E4)*100</f>
        <v>#DIV/0!</v>
      </c>
      <c r="D4" s="233" t="e">
        <f>(CAPTURA!F4/CAPTURA!G4)*100</f>
        <v>#DIV/0!</v>
      </c>
      <c r="E4" s="233" t="e">
        <f>(CAPTURA!H4/CAPTURA!I4)*100</f>
        <v>#DIV/0!</v>
      </c>
      <c r="F4" s="233" t="e">
        <f>(CAPTURA!J4/CAPTURA!K4)*100</f>
        <v>#DIV/0!</v>
      </c>
      <c r="G4" s="233" t="e">
        <f>(CAPTURA!L4/CAPTURA!M4)*100</f>
        <v>#DIV/0!</v>
      </c>
      <c r="H4" s="233" t="e">
        <f>(CAPTURA!N4/CAPTURA!O4)*100</f>
        <v>#DIV/0!</v>
      </c>
      <c r="I4" s="233" t="e">
        <f>(CAPTURA!P4/CAPTURA!Q4)*100</f>
        <v>#DIV/0!</v>
      </c>
    </row>
    <row r="5" spans="1:9" ht="15">
      <c r="A5" s="232" t="s">
        <v>30</v>
      </c>
      <c r="B5" s="233" t="e">
        <f>(CAPTURA!B5/CAPTURA!C5)*100</f>
        <v>#DIV/0!</v>
      </c>
      <c r="C5" s="233" t="e">
        <f>(CAPTURA!D5/CAPTURA!E5)*100</f>
        <v>#DIV/0!</v>
      </c>
      <c r="D5" s="233" t="e">
        <f>(CAPTURA!F5/CAPTURA!G5)*100</f>
        <v>#DIV/0!</v>
      </c>
      <c r="E5" s="233" t="e">
        <f>(CAPTURA!H5/CAPTURA!I5)*100</f>
        <v>#DIV/0!</v>
      </c>
      <c r="F5" s="233" t="e">
        <f>(CAPTURA!J5/CAPTURA!K5)*100</f>
        <v>#DIV/0!</v>
      </c>
      <c r="G5" s="233" t="e">
        <f>(CAPTURA!L5/CAPTURA!M5)*100</f>
        <v>#DIV/0!</v>
      </c>
      <c r="H5" s="233" t="e">
        <f>(CAPTURA!N5/CAPTURA!O5)*100</f>
        <v>#DIV/0!</v>
      </c>
      <c r="I5" s="233" t="e">
        <f>(CAPTURA!P5/CAPTURA!Q5)*100</f>
        <v>#DIV/0!</v>
      </c>
    </row>
    <row r="6" spans="1:9" ht="15">
      <c r="A6" s="232" t="s">
        <v>8</v>
      </c>
      <c r="B6" s="233" t="e">
        <f>(CAPTURA!B6/CAPTURA!C6)*100</f>
        <v>#DIV/0!</v>
      </c>
      <c r="C6" s="233" t="e">
        <f>(CAPTURA!D6/CAPTURA!E6)*100</f>
        <v>#DIV/0!</v>
      </c>
      <c r="D6" s="233" t="e">
        <f>(CAPTURA!F6/CAPTURA!G6)*100</f>
        <v>#DIV/0!</v>
      </c>
      <c r="E6" s="233" t="e">
        <f>(CAPTURA!H6/CAPTURA!I6)*100</f>
        <v>#DIV/0!</v>
      </c>
      <c r="F6" s="233" t="e">
        <f>(CAPTURA!J6/CAPTURA!K6)*100</f>
        <v>#DIV/0!</v>
      </c>
      <c r="G6" s="233" t="e">
        <f>(CAPTURA!L6/CAPTURA!M6)*100</f>
        <v>#DIV/0!</v>
      </c>
      <c r="H6" s="233" t="e">
        <f>(CAPTURA!N6/CAPTURA!O6)*100</f>
        <v>#DIV/0!</v>
      </c>
      <c r="I6" s="233" t="e">
        <f>(CAPTURA!P6/CAPTURA!Q6)*100</f>
        <v>#DIV/0!</v>
      </c>
    </row>
    <row r="7" spans="1:9" ht="15">
      <c r="A7" s="232" t="s">
        <v>9</v>
      </c>
      <c r="B7" s="233" t="e">
        <f>(CAPTURA!B7/CAPTURA!C7)*100</f>
        <v>#DIV/0!</v>
      </c>
      <c r="C7" s="233" t="e">
        <f>(CAPTURA!D7/CAPTURA!E7)*100</f>
        <v>#DIV/0!</v>
      </c>
      <c r="D7" s="233" t="e">
        <f>(CAPTURA!F7/CAPTURA!G7)*100</f>
        <v>#DIV/0!</v>
      </c>
      <c r="E7" s="233" t="e">
        <f>(CAPTURA!H7/CAPTURA!I7)*100</f>
        <v>#DIV/0!</v>
      </c>
      <c r="F7" s="233" t="e">
        <f>(CAPTURA!J7/CAPTURA!K7)*100</f>
        <v>#DIV/0!</v>
      </c>
      <c r="G7" s="233" t="e">
        <f>(CAPTURA!L7/CAPTURA!M7)*100</f>
        <v>#DIV/0!</v>
      </c>
      <c r="H7" s="233" t="e">
        <f>(CAPTURA!N7/CAPTURA!O7)*100</f>
        <v>#DIV/0!</v>
      </c>
      <c r="I7" s="233" t="e">
        <f>(CAPTURA!P7/CAPTURA!Q7)*100</f>
        <v>#DIV/0!</v>
      </c>
    </row>
    <row r="8" spans="1:9" ht="15">
      <c r="A8" s="232" t="s">
        <v>10</v>
      </c>
      <c r="B8" s="233" t="e">
        <f>(CAPTURA!B8/CAPTURA!C8)*100</f>
        <v>#DIV/0!</v>
      </c>
      <c r="C8" s="233" t="e">
        <f>(CAPTURA!D8/CAPTURA!E8)*100</f>
        <v>#DIV/0!</v>
      </c>
      <c r="D8" s="233" t="e">
        <f>(CAPTURA!F8/CAPTURA!G8)*100</f>
        <v>#DIV/0!</v>
      </c>
      <c r="E8" s="233" t="e">
        <f>(CAPTURA!H8/CAPTURA!I8)*100</f>
        <v>#DIV/0!</v>
      </c>
      <c r="F8" s="233" t="e">
        <f>(CAPTURA!J8/CAPTURA!K8)*100</f>
        <v>#DIV/0!</v>
      </c>
      <c r="G8" s="233" t="e">
        <f>(CAPTURA!L8/CAPTURA!M8)*100</f>
        <v>#DIV/0!</v>
      </c>
      <c r="H8" s="233" t="e">
        <f>(CAPTURA!N8/CAPTURA!O8)*100</f>
        <v>#DIV/0!</v>
      </c>
      <c r="I8" s="233" t="e">
        <f>(CAPTURA!P8/CAPTURA!Q8)*100</f>
        <v>#DIV/0!</v>
      </c>
    </row>
    <row r="9" spans="1:9" ht="15">
      <c r="A9" s="232" t="s">
        <v>11</v>
      </c>
      <c r="B9" s="233" t="e">
        <f>(CAPTURA!B9/CAPTURA!C9)*100</f>
        <v>#DIV/0!</v>
      </c>
      <c r="C9" s="233" t="e">
        <f>(CAPTURA!D9/CAPTURA!E9)*100</f>
        <v>#DIV/0!</v>
      </c>
      <c r="D9" s="233" t="e">
        <f>(CAPTURA!F9/CAPTURA!G9)*100</f>
        <v>#DIV/0!</v>
      </c>
      <c r="E9" s="233" t="e">
        <f>(CAPTURA!H9/CAPTURA!I9)*100</f>
        <v>#DIV/0!</v>
      </c>
      <c r="F9" s="233" t="e">
        <f>(CAPTURA!J9/CAPTURA!K9)*100</f>
        <v>#DIV/0!</v>
      </c>
      <c r="G9" s="233" t="e">
        <f>(CAPTURA!L9/CAPTURA!M9)*100</f>
        <v>#DIV/0!</v>
      </c>
      <c r="H9" s="233" t="e">
        <f>(CAPTURA!N9/CAPTURA!O9)*100</f>
        <v>#DIV/0!</v>
      </c>
      <c r="I9" s="233" t="e">
        <f>(CAPTURA!P9/CAPTURA!Q9)*100</f>
        <v>#DIV/0!</v>
      </c>
    </row>
    <row r="10" spans="1:9" ht="15">
      <c r="A10" s="232" t="s">
        <v>12</v>
      </c>
      <c r="B10" s="233" t="e">
        <f>(CAPTURA!B10/CAPTURA!C10)*100</f>
        <v>#DIV/0!</v>
      </c>
      <c r="C10" s="233" t="e">
        <f>(CAPTURA!D10/CAPTURA!E10)*100</f>
        <v>#DIV/0!</v>
      </c>
      <c r="D10" s="233" t="e">
        <f>(CAPTURA!F10/CAPTURA!G10)*100</f>
        <v>#DIV/0!</v>
      </c>
      <c r="E10" s="233" t="e">
        <f>(CAPTURA!H10/CAPTURA!I10)*100</f>
        <v>#DIV/0!</v>
      </c>
      <c r="F10" s="233" t="e">
        <f>(CAPTURA!J10/CAPTURA!K10)*100</f>
        <v>#DIV/0!</v>
      </c>
      <c r="G10" s="233" t="e">
        <f>(CAPTURA!L10/CAPTURA!M10)*100</f>
        <v>#DIV/0!</v>
      </c>
      <c r="H10" s="233" t="e">
        <f>(CAPTURA!N10/CAPTURA!O10)*100</f>
        <v>#DIV/0!</v>
      </c>
      <c r="I10" s="233" t="e">
        <f>(CAPTURA!P10/CAPTURA!Q10)*100</f>
        <v>#DIV/0!</v>
      </c>
    </row>
    <row r="11" spans="1:9" ht="15">
      <c r="A11" s="232" t="s">
        <v>13</v>
      </c>
      <c r="B11" s="233" t="e">
        <f>(CAPTURA!B11/CAPTURA!C11)*100</f>
        <v>#DIV/0!</v>
      </c>
      <c r="C11" s="233" t="e">
        <f>(CAPTURA!D11/CAPTURA!E11)*100</f>
        <v>#DIV/0!</v>
      </c>
      <c r="D11" s="233" t="e">
        <f>(CAPTURA!F11/CAPTURA!G11)*100</f>
        <v>#DIV/0!</v>
      </c>
      <c r="E11" s="233" t="e">
        <f>(CAPTURA!H11/CAPTURA!I11)*100</f>
        <v>#DIV/0!</v>
      </c>
      <c r="F11" s="233" t="e">
        <f>(CAPTURA!J11/CAPTURA!K11)*100</f>
        <v>#DIV/0!</v>
      </c>
      <c r="G11" s="233" t="e">
        <f>(CAPTURA!L11/CAPTURA!M11)*100</f>
        <v>#DIV/0!</v>
      </c>
      <c r="H11" s="233" t="e">
        <f>(CAPTURA!N11/CAPTURA!O11)*100</f>
        <v>#DIV/0!</v>
      </c>
      <c r="I11" s="233" t="e">
        <f>(CAPTURA!P11/CAPTURA!Q11)*100</f>
        <v>#DIV/0!</v>
      </c>
    </row>
    <row r="12" spans="1:9" ht="15">
      <c r="A12" s="232" t="s">
        <v>14</v>
      </c>
      <c r="B12" s="233" t="e">
        <f>(CAPTURA!B12/CAPTURA!C12)*100</f>
        <v>#DIV/0!</v>
      </c>
      <c r="C12" s="233" t="e">
        <f>(CAPTURA!D12/CAPTURA!E12)*100</f>
        <v>#DIV/0!</v>
      </c>
      <c r="D12" s="233" t="e">
        <f>(CAPTURA!F12/CAPTURA!G12)*100</f>
        <v>#DIV/0!</v>
      </c>
      <c r="E12" s="233" t="e">
        <f>(CAPTURA!H12/CAPTURA!I12)*100</f>
        <v>#DIV/0!</v>
      </c>
      <c r="F12" s="233" t="e">
        <f>(CAPTURA!J12/CAPTURA!K12)*100</f>
        <v>#DIV/0!</v>
      </c>
      <c r="G12" s="233" t="e">
        <f>(CAPTURA!L12/CAPTURA!M12)*100</f>
        <v>#DIV/0!</v>
      </c>
      <c r="H12" s="233" t="e">
        <f>(CAPTURA!N12/CAPTURA!O12)*100</f>
        <v>#DIV/0!</v>
      </c>
      <c r="I12" s="233" t="e">
        <f>(CAPTURA!P12/CAPTURA!Q12)*100</f>
        <v>#DIV/0!</v>
      </c>
    </row>
    <row r="13" spans="1:9" ht="15">
      <c r="A13" s="232" t="s">
        <v>15</v>
      </c>
      <c r="B13" s="233" t="e">
        <f>(CAPTURA!B13/CAPTURA!C13)*100</f>
        <v>#DIV/0!</v>
      </c>
      <c r="C13" s="233" t="e">
        <f>(CAPTURA!D13/CAPTURA!E13)*100</f>
        <v>#DIV/0!</v>
      </c>
      <c r="D13" s="233" t="e">
        <f>(CAPTURA!F13/CAPTURA!G13)*100</f>
        <v>#DIV/0!</v>
      </c>
      <c r="E13" s="233" t="e">
        <f>(CAPTURA!H13/CAPTURA!I13)*100</f>
        <v>#DIV/0!</v>
      </c>
      <c r="F13" s="233" t="e">
        <f>(CAPTURA!J13/CAPTURA!K13)*100</f>
        <v>#DIV/0!</v>
      </c>
      <c r="G13" s="233" t="e">
        <f>(CAPTURA!L13/CAPTURA!M13)*100</f>
        <v>#DIV/0!</v>
      </c>
      <c r="H13" s="233" t="e">
        <f>(CAPTURA!N13/CAPTURA!O13)*100</f>
        <v>#DIV/0!</v>
      </c>
      <c r="I13" s="233" t="e">
        <f>(CAPTURA!P13/CAPTURA!Q13)*100</f>
        <v>#DIV/0!</v>
      </c>
    </row>
    <row r="14" spans="1:9" ht="15">
      <c r="A14" s="232" t="s">
        <v>16</v>
      </c>
      <c r="B14" s="233" t="e">
        <f>(CAPTURA!B14/CAPTURA!C14)*100</f>
        <v>#DIV/0!</v>
      </c>
      <c r="C14" s="233" t="e">
        <f>(CAPTURA!D14/CAPTURA!E14)*100</f>
        <v>#DIV/0!</v>
      </c>
      <c r="D14" s="233" t="e">
        <f>(CAPTURA!F14/CAPTURA!G14)*100</f>
        <v>#DIV/0!</v>
      </c>
      <c r="E14" s="233" t="e">
        <f>(CAPTURA!H14/CAPTURA!I14)*100</f>
        <v>#DIV/0!</v>
      </c>
      <c r="F14" s="233" t="e">
        <f>(CAPTURA!J14/CAPTURA!K14)*100</f>
        <v>#DIV/0!</v>
      </c>
      <c r="G14" s="233" t="e">
        <f>(CAPTURA!L14/CAPTURA!M14)*100</f>
        <v>#DIV/0!</v>
      </c>
      <c r="H14" s="233" t="e">
        <f>(CAPTURA!N14/CAPTURA!O14)*100</f>
        <v>#DIV/0!</v>
      </c>
      <c r="I14" s="233" t="e">
        <f>(CAPTURA!P14/CAPTURA!Q14)*100</f>
        <v>#DIV/0!</v>
      </c>
    </row>
  </sheetData>
  <mergeCells count="3">
    <mergeCell ref="A1:I1"/>
    <mergeCell ref="B2:E2"/>
    <mergeCell ref="F2:I2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R350"/>
  <sheetViews>
    <sheetView zoomScaleNormal="100" zoomScaleSheetLayoutView="100" workbookViewId="0">
      <selection sqref="A1:T1"/>
    </sheetView>
  </sheetViews>
  <sheetFormatPr baseColWidth="10" defaultRowHeight="12.75"/>
  <cols>
    <col min="1" max="1" width="18.7109375" style="3" bestFit="1" customWidth="1"/>
    <col min="2" max="2" width="11.5703125" style="3" bestFit="1" customWidth="1"/>
    <col min="3" max="3" width="13.140625" style="3" customWidth="1"/>
    <col min="4" max="4" width="14.140625" style="3" customWidth="1"/>
    <col min="5" max="5" width="11.7109375" style="3" customWidth="1"/>
    <col min="6" max="6" width="10.42578125" style="3" customWidth="1"/>
    <col min="7" max="7" width="12.140625" style="3" hidden="1" customWidth="1"/>
    <col min="8" max="8" width="12.5703125" style="3" customWidth="1"/>
    <col min="9" max="9" width="12.42578125" style="3" hidden="1" customWidth="1"/>
    <col min="10" max="10" width="13.42578125" style="3" customWidth="1"/>
    <col min="11" max="11" width="13.85546875" style="3" customWidth="1"/>
    <col min="12" max="12" width="13.28515625" style="3" bestFit="1" customWidth="1"/>
    <col min="13" max="13" width="12" style="3" customWidth="1"/>
    <col min="14" max="14" width="15.140625" style="3" customWidth="1"/>
    <col min="15" max="15" width="12.140625" style="3" hidden="1" customWidth="1"/>
    <col min="16" max="16" width="12.140625" style="3" customWidth="1"/>
    <col min="17" max="17" width="12" style="3" hidden="1" customWidth="1"/>
    <col min="18" max="18" width="12.5703125" style="3" hidden="1" customWidth="1"/>
    <col min="19" max="19" width="13.7109375" style="3" hidden="1" customWidth="1"/>
    <col min="20" max="20" width="13.5703125" style="3" hidden="1" customWidth="1"/>
    <col min="21" max="21" width="13.7109375" style="3" hidden="1" customWidth="1"/>
    <col min="22" max="22" width="12.140625" style="3" hidden="1" customWidth="1"/>
    <col min="23" max="23" width="15.42578125" style="3" hidden="1" customWidth="1"/>
    <col min="24" max="24" width="13.140625" style="3" hidden="1" customWidth="1"/>
    <col min="25" max="25" width="12.5703125" style="3" hidden="1" customWidth="1"/>
    <col min="26" max="26" width="13.7109375" style="3" hidden="1" customWidth="1"/>
    <col min="27" max="27" width="16.85546875" style="3" hidden="1" customWidth="1"/>
    <col min="28" max="28" width="9.85546875" style="3" hidden="1" customWidth="1"/>
    <col min="29" max="29" width="16.85546875" style="3" hidden="1" customWidth="1"/>
    <col min="30" max="33" width="5.7109375" style="3" hidden="1" customWidth="1"/>
    <col min="34" max="34" width="4.85546875" style="3" hidden="1" customWidth="1"/>
    <col min="35" max="36" width="5.7109375" style="3" hidden="1" customWidth="1"/>
    <col min="37" max="37" width="7.7109375" style="3" hidden="1" customWidth="1"/>
    <col min="38" max="38" width="8" style="3" hidden="1" customWidth="1"/>
    <col min="39" max="39" width="7" style="3" hidden="1" customWidth="1"/>
    <col min="40" max="40" width="7.42578125" style="3" hidden="1" customWidth="1"/>
    <col min="41" max="41" width="18.28515625" style="3" hidden="1" customWidth="1"/>
    <col min="42" max="42" width="18.7109375" style="3" hidden="1" customWidth="1"/>
    <col min="43" max="43" width="12.28515625" style="3" hidden="1" customWidth="1"/>
    <col min="44" max="44" width="7.85546875" style="3" customWidth="1"/>
    <col min="45" max="45" width="6.140625" style="3" customWidth="1"/>
    <col min="46" max="57" width="5.7109375" style="3" customWidth="1"/>
    <col min="58" max="58" width="3.140625" style="3" customWidth="1"/>
    <col min="59" max="77" width="11.42578125" style="3"/>
    <col min="78" max="78" width="18.5703125" style="3" customWidth="1"/>
    <col min="79" max="16384" width="11.42578125" style="3"/>
  </cols>
  <sheetData>
    <row r="1" spans="1:44" s="2" customFormat="1" ht="50.25" customHeight="1">
      <c r="A1" s="252" t="s">
        <v>63</v>
      </c>
      <c r="B1" s="252"/>
      <c r="C1" s="252"/>
      <c r="D1" s="252"/>
      <c r="E1" s="252"/>
      <c r="F1" s="252"/>
      <c r="G1" s="252"/>
      <c r="H1" s="252"/>
      <c r="I1" s="252"/>
      <c r="J1" s="252"/>
      <c r="K1" s="252"/>
      <c r="L1" s="252"/>
      <c r="M1" s="252"/>
      <c r="N1" s="252"/>
      <c r="O1" s="252"/>
      <c r="P1" s="252"/>
      <c r="Q1" s="252"/>
      <c r="R1" s="252"/>
      <c r="S1" s="252"/>
      <c r="T1" s="252"/>
      <c r="U1" s="27"/>
      <c r="V1" s="27"/>
      <c r="W1" s="253" t="s">
        <v>68</v>
      </c>
      <c r="X1" s="253"/>
      <c r="Y1" s="253"/>
      <c r="Z1" s="253"/>
      <c r="AA1" s="253"/>
      <c r="AB1" s="104"/>
      <c r="AC1" s="104"/>
      <c r="AD1" s="254" t="s">
        <v>77</v>
      </c>
      <c r="AE1" s="254"/>
      <c r="AF1" s="254"/>
      <c r="AG1" s="254"/>
      <c r="AH1" s="254"/>
      <c r="AI1" s="254"/>
      <c r="AJ1" s="254"/>
      <c r="AK1" s="254"/>
      <c r="AL1" s="254"/>
      <c r="AM1" s="105"/>
      <c r="AN1" s="105"/>
      <c r="AO1" s="105"/>
      <c r="AP1" s="105"/>
      <c r="AQ1" s="105"/>
    </row>
    <row r="2" spans="1:44" ht="24.75" customHeight="1">
      <c r="A2" s="111"/>
      <c r="B2" s="255" t="s">
        <v>78</v>
      </c>
      <c r="C2" s="255"/>
      <c r="D2" s="255"/>
      <c r="E2" s="255"/>
      <c r="F2" s="256"/>
      <c r="G2" s="137"/>
      <c r="H2" s="226"/>
      <c r="I2" s="138"/>
      <c r="J2" s="257" t="s">
        <v>79</v>
      </c>
      <c r="K2" s="258"/>
      <c r="L2" s="258"/>
      <c r="M2" s="258"/>
      <c r="N2" s="258"/>
      <c r="O2" s="139"/>
      <c r="P2" s="119"/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20"/>
      <c r="AC2" s="125"/>
      <c r="AD2" s="125"/>
      <c r="AE2" s="125"/>
      <c r="AF2" s="125"/>
      <c r="AG2" s="125"/>
      <c r="AH2" s="125"/>
      <c r="AI2" s="125"/>
      <c r="AJ2" s="125"/>
      <c r="AK2" s="140"/>
      <c r="AL2" s="140"/>
      <c r="AM2" s="140"/>
      <c r="AN2" s="138"/>
    </row>
    <row r="3" spans="1:44" ht="46.5" customHeight="1">
      <c r="A3" s="12" t="s">
        <v>7</v>
      </c>
      <c r="B3" s="131" t="s">
        <v>80</v>
      </c>
      <c r="C3" s="131" t="s">
        <v>64</v>
      </c>
      <c r="D3" s="131" t="s">
        <v>65</v>
      </c>
      <c r="E3" s="131" t="s">
        <v>66</v>
      </c>
      <c r="F3" s="131" t="s">
        <v>67</v>
      </c>
      <c r="G3" s="112" t="s">
        <v>0</v>
      </c>
      <c r="H3" s="113" t="s">
        <v>1</v>
      </c>
      <c r="I3" s="114" t="s">
        <v>7</v>
      </c>
      <c r="J3" s="132" t="s">
        <v>80</v>
      </c>
      <c r="K3" s="132" t="s">
        <v>64</v>
      </c>
      <c r="L3" s="132" t="s">
        <v>65</v>
      </c>
      <c r="M3" s="132" t="s">
        <v>66</v>
      </c>
      <c r="N3" s="132" t="s">
        <v>67</v>
      </c>
      <c r="O3" s="112" t="s">
        <v>0</v>
      </c>
      <c r="P3" s="121" t="s">
        <v>1</v>
      </c>
      <c r="Q3" s="12" t="s">
        <v>7</v>
      </c>
      <c r="R3" s="122" t="s">
        <v>64</v>
      </c>
      <c r="S3" s="122" t="s">
        <v>65</v>
      </c>
      <c r="T3" s="122" t="s">
        <v>66</v>
      </c>
      <c r="U3" s="122" t="s">
        <v>67</v>
      </c>
      <c r="V3" s="13" t="s">
        <v>0</v>
      </c>
      <c r="W3" s="14" t="s">
        <v>2</v>
      </c>
      <c r="X3" s="12" t="s">
        <v>7</v>
      </c>
      <c r="Y3" s="123" t="s">
        <v>64</v>
      </c>
      <c r="Z3" s="123" t="s">
        <v>65</v>
      </c>
      <c r="AA3" s="123" t="s">
        <v>66</v>
      </c>
      <c r="AB3" s="123" t="s">
        <v>67</v>
      </c>
      <c r="AC3" s="15" t="s">
        <v>3</v>
      </c>
      <c r="AD3" s="124" t="s">
        <v>29</v>
      </c>
      <c r="AE3" s="141"/>
      <c r="AF3" s="251" t="s">
        <v>81</v>
      </c>
      <c r="AG3" s="251"/>
      <c r="AH3" s="251"/>
      <c r="AI3" s="251"/>
      <c r="AJ3" s="126"/>
      <c r="AK3" s="251" t="s">
        <v>82</v>
      </c>
      <c r="AL3" s="251"/>
      <c r="AM3" s="251"/>
      <c r="AN3" s="251"/>
      <c r="AO3" s="55"/>
      <c r="AP3" s="55"/>
      <c r="AQ3" s="55"/>
      <c r="AR3" s="55"/>
    </row>
    <row r="4" spans="1:44" ht="20.100000000000001" customHeight="1">
      <c r="A4" s="4" t="s">
        <v>6</v>
      </c>
      <c r="B4" s="217">
        <v>1</v>
      </c>
      <c r="C4" s="130" t="e">
        <f>CONCENTRADO!B4</f>
        <v>#DIV/0!</v>
      </c>
      <c r="D4" s="130" t="e">
        <f>CONCENTRADO!C4</f>
        <v>#DIV/0!</v>
      </c>
      <c r="E4" s="130" t="e">
        <f>CONCENTRADO!D4</f>
        <v>#DIV/0!</v>
      </c>
      <c r="F4" s="130" t="e">
        <f>CONCENTRADO!E4</f>
        <v>#DIV/0!</v>
      </c>
      <c r="G4" s="142" t="e">
        <f>SQRT(SUMSQ(AF4:AI4))</f>
        <v>#DIV/0!</v>
      </c>
      <c r="H4" s="212" t="e">
        <f t="shared" ref="H4:H14" si="0">(G4/$G$15)*100</f>
        <v>#DIV/0!</v>
      </c>
      <c r="I4" s="115" t="s">
        <v>6</v>
      </c>
      <c r="J4" s="219">
        <v>2</v>
      </c>
      <c r="K4" s="116" t="e">
        <f>CONCENTRADO!F4</f>
        <v>#DIV/0!</v>
      </c>
      <c r="L4" s="116" t="e">
        <f>CONCENTRADO!G4</f>
        <v>#DIV/0!</v>
      </c>
      <c r="M4" s="116" t="e">
        <f>CONCENTRADO!H4</f>
        <v>#DIV/0!</v>
      </c>
      <c r="N4" s="116" t="e">
        <f>CONCENTRADO!I4</f>
        <v>#DIV/0!</v>
      </c>
      <c r="O4" s="142" t="e">
        <f>SQRT(SUMSQ(AK4:AN4))</f>
        <v>#DIV/0!</v>
      </c>
      <c r="P4" s="212" t="e">
        <f t="shared" ref="P4:P14" si="1">(O4/$O$15)*100</f>
        <v>#DIV/0!</v>
      </c>
      <c r="Q4" s="4" t="s">
        <v>6</v>
      </c>
      <c r="R4" s="143" t="e">
        <f t="shared" ref="R4:R14" si="2">K4-C4</f>
        <v>#DIV/0!</v>
      </c>
      <c r="S4" s="143" t="e">
        <f t="shared" ref="S4:S14" si="3">L4-D4</f>
        <v>#DIV/0!</v>
      </c>
      <c r="T4" s="143" t="e">
        <f t="shared" ref="T4:T14" si="4">M4-E4</f>
        <v>#DIV/0!</v>
      </c>
      <c r="U4" s="143" t="e">
        <f t="shared" ref="U4:U14" si="5">N4-F4</f>
        <v>#DIV/0!</v>
      </c>
      <c r="V4" s="144" t="e">
        <f t="shared" ref="V4:V14" si="6">SQRT(SUMSQ(R4:U4))</f>
        <v>#DIV/0!</v>
      </c>
      <c r="W4" s="145" t="e">
        <f t="shared" ref="W4:W14" si="7">(P4/H4)*100-100</f>
        <v>#DIV/0!</v>
      </c>
      <c r="X4" s="4" t="s">
        <v>6</v>
      </c>
      <c r="Y4" s="146" t="e">
        <f t="shared" ref="Y4:AB14" si="8">R4/12</f>
        <v>#DIV/0!</v>
      </c>
      <c r="Z4" s="146" t="e">
        <f t="shared" si="8"/>
        <v>#DIV/0!</v>
      </c>
      <c r="AA4" s="146" t="e">
        <f t="shared" si="8"/>
        <v>#DIV/0!</v>
      </c>
      <c r="AB4" s="146" t="e">
        <f t="shared" si="8"/>
        <v>#DIV/0!</v>
      </c>
      <c r="AC4" s="147" t="e">
        <f t="shared" ref="AC4:AC14" si="9">SQRT(SUMSQ(Y4:AB4))</f>
        <v>#DIV/0!</v>
      </c>
      <c r="AD4" s="148" t="e">
        <f t="shared" ref="AD4:AD14" si="10">(P4-H4)/12</f>
        <v>#DIV/0!</v>
      </c>
      <c r="AE4" s="149"/>
      <c r="AF4" s="150" t="e">
        <f>C4*0.3</f>
        <v>#DIV/0!</v>
      </c>
      <c r="AG4" s="150" t="e">
        <f>D4*0.2</f>
        <v>#DIV/0!</v>
      </c>
      <c r="AH4" s="150" t="e">
        <f>E4*0.3</f>
        <v>#DIV/0!</v>
      </c>
      <c r="AI4" s="150" t="e">
        <f>F4*0.2</f>
        <v>#DIV/0!</v>
      </c>
      <c r="AJ4" s="150"/>
      <c r="AK4" s="150" t="e">
        <f>K4*0.3</f>
        <v>#DIV/0!</v>
      </c>
      <c r="AL4" s="150" t="e">
        <f>L4*0.2</f>
        <v>#DIV/0!</v>
      </c>
      <c r="AM4" s="150" t="e">
        <f>M4*0.3</f>
        <v>#DIV/0!</v>
      </c>
      <c r="AN4" s="150" t="e">
        <f>N4*0.2</f>
        <v>#DIV/0!</v>
      </c>
      <c r="AO4" s="56"/>
      <c r="AP4" s="56"/>
      <c r="AQ4" s="56"/>
      <c r="AR4" s="56"/>
    </row>
    <row r="5" spans="1:44" ht="20.100000000000001" customHeight="1">
      <c r="A5" s="4" t="s">
        <v>30</v>
      </c>
      <c r="B5" s="217">
        <v>1</v>
      </c>
      <c r="C5" s="130" t="e">
        <f>CONCENTRADO!B5</f>
        <v>#DIV/0!</v>
      </c>
      <c r="D5" s="130" t="e">
        <f>CONCENTRADO!C5</f>
        <v>#DIV/0!</v>
      </c>
      <c r="E5" s="130" t="e">
        <f>CONCENTRADO!D5</f>
        <v>#DIV/0!</v>
      </c>
      <c r="F5" s="130" t="e">
        <f>CONCENTRADO!E5</f>
        <v>#DIV/0!</v>
      </c>
      <c r="G5" s="142" t="e">
        <f t="shared" ref="G5:G13" si="11">SQRT(SUMSQ(AF5:AI5))</f>
        <v>#DIV/0!</v>
      </c>
      <c r="H5" s="212" t="e">
        <f t="shared" si="0"/>
        <v>#DIV/0!</v>
      </c>
      <c r="I5" s="115" t="s">
        <v>30</v>
      </c>
      <c r="J5" s="219">
        <v>2</v>
      </c>
      <c r="K5" s="116" t="e">
        <f>CONCENTRADO!F5</f>
        <v>#DIV/0!</v>
      </c>
      <c r="L5" s="116" t="e">
        <f>CONCENTRADO!G5</f>
        <v>#DIV/0!</v>
      </c>
      <c r="M5" s="116" t="e">
        <f>CONCENTRADO!H5</f>
        <v>#DIV/0!</v>
      </c>
      <c r="N5" s="116" t="e">
        <f>CONCENTRADO!I5</f>
        <v>#DIV/0!</v>
      </c>
      <c r="O5" s="142" t="e">
        <f t="shared" ref="O5:O14" si="12">SQRT(SUMSQ(AK5:AN5))</f>
        <v>#DIV/0!</v>
      </c>
      <c r="P5" s="212" t="e">
        <f t="shared" si="1"/>
        <v>#DIV/0!</v>
      </c>
      <c r="Q5" s="4" t="s">
        <v>30</v>
      </c>
      <c r="R5" s="143" t="e">
        <f t="shared" si="2"/>
        <v>#DIV/0!</v>
      </c>
      <c r="S5" s="143" t="e">
        <f t="shared" si="3"/>
        <v>#DIV/0!</v>
      </c>
      <c r="T5" s="143" t="e">
        <f t="shared" si="4"/>
        <v>#DIV/0!</v>
      </c>
      <c r="U5" s="143" t="e">
        <f t="shared" si="5"/>
        <v>#DIV/0!</v>
      </c>
      <c r="V5" s="144" t="e">
        <f t="shared" si="6"/>
        <v>#DIV/0!</v>
      </c>
      <c r="W5" s="145" t="e">
        <f t="shared" si="7"/>
        <v>#DIV/0!</v>
      </c>
      <c r="X5" s="4" t="s">
        <v>30</v>
      </c>
      <c r="Y5" s="146" t="e">
        <f t="shared" si="8"/>
        <v>#DIV/0!</v>
      </c>
      <c r="Z5" s="146" t="e">
        <f t="shared" si="8"/>
        <v>#DIV/0!</v>
      </c>
      <c r="AA5" s="146" t="e">
        <f t="shared" si="8"/>
        <v>#DIV/0!</v>
      </c>
      <c r="AB5" s="146" t="e">
        <f t="shared" si="8"/>
        <v>#DIV/0!</v>
      </c>
      <c r="AC5" s="147" t="e">
        <f t="shared" si="9"/>
        <v>#DIV/0!</v>
      </c>
      <c r="AD5" s="148" t="e">
        <f t="shared" si="10"/>
        <v>#DIV/0!</v>
      </c>
      <c r="AE5" s="149"/>
      <c r="AF5" s="150" t="e">
        <f t="shared" ref="AF5:AF14" si="13">C5*0.3</f>
        <v>#DIV/0!</v>
      </c>
      <c r="AG5" s="150" t="e">
        <f t="shared" ref="AG5:AG14" si="14">D5*0.2</f>
        <v>#DIV/0!</v>
      </c>
      <c r="AH5" s="150" t="e">
        <f t="shared" ref="AH5:AH14" si="15">E5*0.3</f>
        <v>#DIV/0!</v>
      </c>
      <c r="AI5" s="150" t="e">
        <f t="shared" ref="AI5:AI14" si="16">F5*0.2</f>
        <v>#DIV/0!</v>
      </c>
      <c r="AJ5" s="150"/>
      <c r="AK5" s="150" t="e">
        <f t="shared" ref="AK5:AK14" si="17">K5*0.3</f>
        <v>#DIV/0!</v>
      </c>
      <c r="AL5" s="150" t="e">
        <f t="shared" ref="AL5:AL14" si="18">L5*0.2</f>
        <v>#DIV/0!</v>
      </c>
      <c r="AM5" s="150" t="e">
        <f t="shared" ref="AM5:AM14" si="19">M5*0.3</f>
        <v>#DIV/0!</v>
      </c>
      <c r="AN5" s="150" t="e">
        <f t="shared" ref="AN5:AN14" si="20">N5*0.2</f>
        <v>#DIV/0!</v>
      </c>
      <c r="AO5" s="56"/>
      <c r="AP5" s="56"/>
      <c r="AQ5" s="56"/>
      <c r="AR5" s="56"/>
    </row>
    <row r="6" spans="1:44" ht="20.100000000000001" customHeight="1">
      <c r="A6" s="4" t="s">
        <v>8</v>
      </c>
      <c r="B6" s="217">
        <v>1</v>
      </c>
      <c r="C6" s="130" t="e">
        <f>CONCENTRADO!B6</f>
        <v>#DIV/0!</v>
      </c>
      <c r="D6" s="130" t="e">
        <f>CONCENTRADO!C6</f>
        <v>#DIV/0!</v>
      </c>
      <c r="E6" s="130" t="e">
        <f>CONCENTRADO!D6</f>
        <v>#DIV/0!</v>
      </c>
      <c r="F6" s="130" t="e">
        <f>CONCENTRADO!E6</f>
        <v>#DIV/0!</v>
      </c>
      <c r="G6" s="142" t="e">
        <f t="shared" si="11"/>
        <v>#DIV/0!</v>
      </c>
      <c r="H6" s="212" t="e">
        <f t="shared" si="0"/>
        <v>#DIV/0!</v>
      </c>
      <c r="I6" s="115" t="s">
        <v>8</v>
      </c>
      <c r="J6" s="219">
        <v>2</v>
      </c>
      <c r="K6" s="116" t="e">
        <f>CONCENTRADO!F6</f>
        <v>#DIV/0!</v>
      </c>
      <c r="L6" s="116" t="e">
        <f>CONCENTRADO!G6</f>
        <v>#DIV/0!</v>
      </c>
      <c r="M6" s="116" t="e">
        <f>CONCENTRADO!H6</f>
        <v>#DIV/0!</v>
      </c>
      <c r="N6" s="116" t="e">
        <f>CONCENTRADO!I6</f>
        <v>#DIV/0!</v>
      </c>
      <c r="O6" s="142" t="e">
        <f t="shared" si="12"/>
        <v>#DIV/0!</v>
      </c>
      <c r="P6" s="212" t="e">
        <f t="shared" si="1"/>
        <v>#DIV/0!</v>
      </c>
      <c r="Q6" s="4" t="s">
        <v>8</v>
      </c>
      <c r="R6" s="143" t="e">
        <f t="shared" si="2"/>
        <v>#DIV/0!</v>
      </c>
      <c r="S6" s="143" t="e">
        <f t="shared" si="3"/>
        <v>#DIV/0!</v>
      </c>
      <c r="T6" s="143" t="e">
        <f t="shared" si="4"/>
        <v>#DIV/0!</v>
      </c>
      <c r="U6" s="143" t="e">
        <f t="shared" si="5"/>
        <v>#DIV/0!</v>
      </c>
      <c r="V6" s="144" t="e">
        <f t="shared" si="6"/>
        <v>#DIV/0!</v>
      </c>
      <c r="W6" s="145" t="e">
        <f t="shared" si="7"/>
        <v>#DIV/0!</v>
      </c>
      <c r="X6" s="4" t="s">
        <v>8</v>
      </c>
      <c r="Y6" s="146" t="e">
        <f t="shared" si="8"/>
        <v>#DIV/0!</v>
      </c>
      <c r="Z6" s="146" t="e">
        <f t="shared" si="8"/>
        <v>#DIV/0!</v>
      </c>
      <c r="AA6" s="146" t="e">
        <f t="shared" si="8"/>
        <v>#DIV/0!</v>
      </c>
      <c r="AB6" s="146" t="e">
        <f t="shared" si="8"/>
        <v>#DIV/0!</v>
      </c>
      <c r="AC6" s="147" t="e">
        <f t="shared" si="9"/>
        <v>#DIV/0!</v>
      </c>
      <c r="AD6" s="148" t="e">
        <f t="shared" si="10"/>
        <v>#DIV/0!</v>
      </c>
      <c r="AE6" s="149"/>
      <c r="AF6" s="150" t="e">
        <f t="shared" si="13"/>
        <v>#DIV/0!</v>
      </c>
      <c r="AG6" s="150" t="e">
        <f t="shared" si="14"/>
        <v>#DIV/0!</v>
      </c>
      <c r="AH6" s="150" t="e">
        <f t="shared" si="15"/>
        <v>#DIV/0!</v>
      </c>
      <c r="AI6" s="150" t="e">
        <f t="shared" si="16"/>
        <v>#DIV/0!</v>
      </c>
      <c r="AJ6" s="150"/>
      <c r="AK6" s="150" t="e">
        <f t="shared" si="17"/>
        <v>#DIV/0!</v>
      </c>
      <c r="AL6" s="150" t="e">
        <f t="shared" si="18"/>
        <v>#DIV/0!</v>
      </c>
      <c r="AM6" s="150" t="e">
        <f t="shared" si="19"/>
        <v>#DIV/0!</v>
      </c>
      <c r="AN6" s="150" t="e">
        <f t="shared" si="20"/>
        <v>#DIV/0!</v>
      </c>
      <c r="AO6" s="56"/>
      <c r="AP6" s="56"/>
      <c r="AQ6" s="56"/>
      <c r="AR6" s="56"/>
    </row>
    <row r="7" spans="1:44" ht="20.100000000000001" customHeight="1">
      <c r="A7" s="4" t="s">
        <v>9</v>
      </c>
      <c r="B7" s="217">
        <v>1</v>
      </c>
      <c r="C7" s="130" t="e">
        <f>CONCENTRADO!B7</f>
        <v>#DIV/0!</v>
      </c>
      <c r="D7" s="130" t="e">
        <f>CONCENTRADO!C7</f>
        <v>#DIV/0!</v>
      </c>
      <c r="E7" s="130" t="e">
        <f>CONCENTRADO!D7</f>
        <v>#DIV/0!</v>
      </c>
      <c r="F7" s="130" t="e">
        <f>CONCENTRADO!E7</f>
        <v>#DIV/0!</v>
      </c>
      <c r="G7" s="142" t="e">
        <f t="shared" si="11"/>
        <v>#DIV/0!</v>
      </c>
      <c r="H7" s="212" t="e">
        <f t="shared" si="0"/>
        <v>#DIV/0!</v>
      </c>
      <c r="I7" s="115" t="s">
        <v>9</v>
      </c>
      <c r="J7" s="219">
        <v>2</v>
      </c>
      <c r="K7" s="116" t="e">
        <f>CONCENTRADO!F7</f>
        <v>#DIV/0!</v>
      </c>
      <c r="L7" s="116" t="e">
        <f>CONCENTRADO!G7</f>
        <v>#DIV/0!</v>
      </c>
      <c r="M7" s="116" t="e">
        <f>CONCENTRADO!H7</f>
        <v>#DIV/0!</v>
      </c>
      <c r="N7" s="116" t="e">
        <f>CONCENTRADO!I7</f>
        <v>#DIV/0!</v>
      </c>
      <c r="O7" s="142" t="e">
        <f t="shared" si="12"/>
        <v>#DIV/0!</v>
      </c>
      <c r="P7" s="212" t="e">
        <f t="shared" si="1"/>
        <v>#DIV/0!</v>
      </c>
      <c r="Q7" s="4" t="s">
        <v>9</v>
      </c>
      <c r="R7" s="143" t="e">
        <f t="shared" si="2"/>
        <v>#DIV/0!</v>
      </c>
      <c r="S7" s="143" t="e">
        <f t="shared" si="3"/>
        <v>#DIV/0!</v>
      </c>
      <c r="T7" s="143" t="e">
        <f t="shared" si="4"/>
        <v>#DIV/0!</v>
      </c>
      <c r="U7" s="143" t="e">
        <f t="shared" si="5"/>
        <v>#DIV/0!</v>
      </c>
      <c r="V7" s="144" t="e">
        <f t="shared" si="6"/>
        <v>#DIV/0!</v>
      </c>
      <c r="W7" s="145" t="e">
        <f t="shared" si="7"/>
        <v>#DIV/0!</v>
      </c>
      <c r="X7" s="4" t="s">
        <v>9</v>
      </c>
      <c r="Y7" s="146" t="e">
        <f t="shared" si="8"/>
        <v>#DIV/0!</v>
      </c>
      <c r="Z7" s="146" t="e">
        <f t="shared" si="8"/>
        <v>#DIV/0!</v>
      </c>
      <c r="AA7" s="146" t="e">
        <f t="shared" si="8"/>
        <v>#DIV/0!</v>
      </c>
      <c r="AB7" s="146" t="e">
        <f t="shared" si="8"/>
        <v>#DIV/0!</v>
      </c>
      <c r="AC7" s="147" t="e">
        <f t="shared" si="9"/>
        <v>#DIV/0!</v>
      </c>
      <c r="AD7" s="148" t="e">
        <f t="shared" si="10"/>
        <v>#DIV/0!</v>
      </c>
      <c r="AE7" s="149"/>
      <c r="AF7" s="150" t="e">
        <f t="shared" si="13"/>
        <v>#DIV/0!</v>
      </c>
      <c r="AG7" s="150" t="e">
        <f t="shared" si="14"/>
        <v>#DIV/0!</v>
      </c>
      <c r="AH7" s="150" t="e">
        <f t="shared" si="15"/>
        <v>#DIV/0!</v>
      </c>
      <c r="AI7" s="150" t="e">
        <f t="shared" si="16"/>
        <v>#DIV/0!</v>
      </c>
      <c r="AJ7" s="150"/>
      <c r="AK7" s="150" t="e">
        <f t="shared" si="17"/>
        <v>#DIV/0!</v>
      </c>
      <c r="AL7" s="150" t="e">
        <f t="shared" si="18"/>
        <v>#DIV/0!</v>
      </c>
      <c r="AM7" s="150" t="e">
        <f t="shared" si="19"/>
        <v>#DIV/0!</v>
      </c>
      <c r="AN7" s="150" t="e">
        <f t="shared" si="20"/>
        <v>#DIV/0!</v>
      </c>
      <c r="AO7" s="56"/>
      <c r="AP7" s="56"/>
      <c r="AQ7" s="56"/>
      <c r="AR7" s="56"/>
    </row>
    <row r="8" spans="1:44" ht="20.100000000000001" customHeight="1">
      <c r="A8" s="4" t="s">
        <v>10</v>
      </c>
      <c r="B8" s="217">
        <v>1</v>
      </c>
      <c r="C8" s="130" t="e">
        <f>CONCENTRADO!B8</f>
        <v>#DIV/0!</v>
      </c>
      <c r="D8" s="130" t="e">
        <f>CONCENTRADO!C8</f>
        <v>#DIV/0!</v>
      </c>
      <c r="E8" s="130" t="e">
        <f>CONCENTRADO!D8</f>
        <v>#DIV/0!</v>
      </c>
      <c r="F8" s="130" t="e">
        <f>CONCENTRADO!E8</f>
        <v>#DIV/0!</v>
      </c>
      <c r="G8" s="142" t="e">
        <f t="shared" si="11"/>
        <v>#DIV/0!</v>
      </c>
      <c r="H8" s="212" t="e">
        <f t="shared" si="0"/>
        <v>#DIV/0!</v>
      </c>
      <c r="I8" s="115" t="s">
        <v>10</v>
      </c>
      <c r="J8" s="219">
        <v>2</v>
      </c>
      <c r="K8" s="116" t="e">
        <f>CONCENTRADO!F8</f>
        <v>#DIV/0!</v>
      </c>
      <c r="L8" s="116" t="e">
        <f>CONCENTRADO!G8</f>
        <v>#DIV/0!</v>
      </c>
      <c r="M8" s="116" t="e">
        <f>CONCENTRADO!H8</f>
        <v>#DIV/0!</v>
      </c>
      <c r="N8" s="116" t="e">
        <f>CONCENTRADO!I8</f>
        <v>#DIV/0!</v>
      </c>
      <c r="O8" s="142" t="e">
        <f t="shared" si="12"/>
        <v>#DIV/0!</v>
      </c>
      <c r="P8" s="212" t="e">
        <f t="shared" si="1"/>
        <v>#DIV/0!</v>
      </c>
      <c r="Q8" s="4" t="s">
        <v>10</v>
      </c>
      <c r="R8" s="143" t="e">
        <f t="shared" si="2"/>
        <v>#DIV/0!</v>
      </c>
      <c r="S8" s="143" t="e">
        <f t="shared" si="3"/>
        <v>#DIV/0!</v>
      </c>
      <c r="T8" s="143" t="e">
        <f t="shared" si="4"/>
        <v>#DIV/0!</v>
      </c>
      <c r="U8" s="143" t="e">
        <f t="shared" si="5"/>
        <v>#DIV/0!</v>
      </c>
      <c r="V8" s="144" t="e">
        <f t="shared" si="6"/>
        <v>#DIV/0!</v>
      </c>
      <c r="W8" s="145" t="e">
        <f t="shared" si="7"/>
        <v>#DIV/0!</v>
      </c>
      <c r="X8" s="4" t="s">
        <v>10</v>
      </c>
      <c r="Y8" s="146" t="e">
        <f t="shared" si="8"/>
        <v>#DIV/0!</v>
      </c>
      <c r="Z8" s="146" t="e">
        <f t="shared" si="8"/>
        <v>#DIV/0!</v>
      </c>
      <c r="AA8" s="146" t="e">
        <f t="shared" si="8"/>
        <v>#DIV/0!</v>
      </c>
      <c r="AB8" s="146" t="e">
        <f t="shared" si="8"/>
        <v>#DIV/0!</v>
      </c>
      <c r="AC8" s="147" t="e">
        <f t="shared" si="9"/>
        <v>#DIV/0!</v>
      </c>
      <c r="AD8" s="148" t="e">
        <f t="shared" si="10"/>
        <v>#DIV/0!</v>
      </c>
      <c r="AE8" s="149"/>
      <c r="AF8" s="150" t="e">
        <f t="shared" si="13"/>
        <v>#DIV/0!</v>
      </c>
      <c r="AG8" s="150" t="e">
        <f t="shared" si="14"/>
        <v>#DIV/0!</v>
      </c>
      <c r="AH8" s="150" t="e">
        <f t="shared" si="15"/>
        <v>#DIV/0!</v>
      </c>
      <c r="AI8" s="150" t="e">
        <f t="shared" si="16"/>
        <v>#DIV/0!</v>
      </c>
      <c r="AJ8" s="150"/>
      <c r="AK8" s="150" t="e">
        <f t="shared" si="17"/>
        <v>#DIV/0!</v>
      </c>
      <c r="AL8" s="150" t="e">
        <f t="shared" si="18"/>
        <v>#DIV/0!</v>
      </c>
      <c r="AM8" s="150" t="e">
        <f t="shared" si="19"/>
        <v>#DIV/0!</v>
      </c>
      <c r="AN8" s="150" t="e">
        <f t="shared" si="20"/>
        <v>#DIV/0!</v>
      </c>
      <c r="AO8" s="56"/>
      <c r="AP8" s="56"/>
      <c r="AQ8" s="56"/>
      <c r="AR8" s="56"/>
    </row>
    <row r="9" spans="1:44" ht="20.100000000000001" customHeight="1">
      <c r="A9" s="4" t="s">
        <v>11</v>
      </c>
      <c r="B9" s="217">
        <v>1</v>
      </c>
      <c r="C9" s="130" t="e">
        <f>CONCENTRADO!B9</f>
        <v>#DIV/0!</v>
      </c>
      <c r="D9" s="130" t="e">
        <f>CONCENTRADO!C9</f>
        <v>#DIV/0!</v>
      </c>
      <c r="E9" s="130" t="e">
        <f>CONCENTRADO!D9</f>
        <v>#DIV/0!</v>
      </c>
      <c r="F9" s="130" t="e">
        <f>CONCENTRADO!E9</f>
        <v>#DIV/0!</v>
      </c>
      <c r="G9" s="142" t="e">
        <f t="shared" si="11"/>
        <v>#DIV/0!</v>
      </c>
      <c r="H9" s="212" t="e">
        <f t="shared" si="0"/>
        <v>#DIV/0!</v>
      </c>
      <c r="I9" s="115" t="s">
        <v>11</v>
      </c>
      <c r="J9" s="219">
        <v>2</v>
      </c>
      <c r="K9" s="116" t="e">
        <f>CONCENTRADO!F9</f>
        <v>#DIV/0!</v>
      </c>
      <c r="L9" s="116" t="e">
        <f>CONCENTRADO!G9</f>
        <v>#DIV/0!</v>
      </c>
      <c r="M9" s="116" t="e">
        <f>CONCENTRADO!H9</f>
        <v>#DIV/0!</v>
      </c>
      <c r="N9" s="116" t="e">
        <f>CONCENTRADO!I9</f>
        <v>#DIV/0!</v>
      </c>
      <c r="O9" s="142" t="e">
        <f t="shared" si="12"/>
        <v>#DIV/0!</v>
      </c>
      <c r="P9" s="212" t="e">
        <f t="shared" si="1"/>
        <v>#DIV/0!</v>
      </c>
      <c r="Q9" s="4" t="s">
        <v>11</v>
      </c>
      <c r="R9" s="143" t="e">
        <f t="shared" si="2"/>
        <v>#DIV/0!</v>
      </c>
      <c r="S9" s="143" t="e">
        <f t="shared" si="3"/>
        <v>#DIV/0!</v>
      </c>
      <c r="T9" s="143" t="e">
        <f t="shared" si="4"/>
        <v>#DIV/0!</v>
      </c>
      <c r="U9" s="143" t="e">
        <f t="shared" si="5"/>
        <v>#DIV/0!</v>
      </c>
      <c r="V9" s="144" t="e">
        <f t="shared" si="6"/>
        <v>#DIV/0!</v>
      </c>
      <c r="W9" s="145" t="e">
        <f t="shared" si="7"/>
        <v>#DIV/0!</v>
      </c>
      <c r="X9" s="4" t="s">
        <v>11</v>
      </c>
      <c r="Y9" s="146" t="e">
        <f t="shared" si="8"/>
        <v>#DIV/0!</v>
      </c>
      <c r="Z9" s="146" t="e">
        <f t="shared" si="8"/>
        <v>#DIV/0!</v>
      </c>
      <c r="AA9" s="146" t="e">
        <f t="shared" si="8"/>
        <v>#DIV/0!</v>
      </c>
      <c r="AB9" s="146" t="e">
        <f t="shared" si="8"/>
        <v>#DIV/0!</v>
      </c>
      <c r="AC9" s="147" t="e">
        <f t="shared" si="9"/>
        <v>#DIV/0!</v>
      </c>
      <c r="AD9" s="148" t="e">
        <f t="shared" si="10"/>
        <v>#DIV/0!</v>
      </c>
      <c r="AE9" s="149"/>
      <c r="AF9" s="150" t="e">
        <f t="shared" si="13"/>
        <v>#DIV/0!</v>
      </c>
      <c r="AG9" s="150" t="e">
        <f t="shared" si="14"/>
        <v>#DIV/0!</v>
      </c>
      <c r="AH9" s="150" t="e">
        <f t="shared" si="15"/>
        <v>#DIV/0!</v>
      </c>
      <c r="AI9" s="150" t="e">
        <f t="shared" si="16"/>
        <v>#DIV/0!</v>
      </c>
      <c r="AJ9" s="150"/>
      <c r="AK9" s="150" t="e">
        <f t="shared" si="17"/>
        <v>#DIV/0!</v>
      </c>
      <c r="AL9" s="150" t="e">
        <f t="shared" si="18"/>
        <v>#DIV/0!</v>
      </c>
      <c r="AM9" s="150" t="e">
        <f t="shared" si="19"/>
        <v>#DIV/0!</v>
      </c>
      <c r="AN9" s="150" t="e">
        <f t="shared" si="20"/>
        <v>#DIV/0!</v>
      </c>
      <c r="AO9" s="56"/>
      <c r="AP9" s="56"/>
      <c r="AQ9" s="56"/>
      <c r="AR9" s="56"/>
    </row>
    <row r="10" spans="1:44" ht="20.100000000000001" customHeight="1">
      <c r="A10" s="4" t="s">
        <v>12</v>
      </c>
      <c r="B10" s="217">
        <v>1</v>
      </c>
      <c r="C10" s="130" t="e">
        <f>CONCENTRADO!B10</f>
        <v>#DIV/0!</v>
      </c>
      <c r="D10" s="130" t="e">
        <f>CONCENTRADO!C10</f>
        <v>#DIV/0!</v>
      </c>
      <c r="E10" s="130" t="e">
        <f>CONCENTRADO!D10</f>
        <v>#DIV/0!</v>
      </c>
      <c r="F10" s="130" t="e">
        <f>CONCENTRADO!E10</f>
        <v>#DIV/0!</v>
      </c>
      <c r="G10" s="142" t="e">
        <f t="shared" si="11"/>
        <v>#DIV/0!</v>
      </c>
      <c r="H10" s="212" t="e">
        <f t="shared" si="0"/>
        <v>#DIV/0!</v>
      </c>
      <c r="I10" s="115" t="s">
        <v>12</v>
      </c>
      <c r="J10" s="219">
        <v>2</v>
      </c>
      <c r="K10" s="116" t="e">
        <f>CONCENTRADO!F10</f>
        <v>#DIV/0!</v>
      </c>
      <c r="L10" s="116" t="e">
        <f>CONCENTRADO!G10</f>
        <v>#DIV/0!</v>
      </c>
      <c r="M10" s="116" t="e">
        <f>CONCENTRADO!H10</f>
        <v>#DIV/0!</v>
      </c>
      <c r="N10" s="116" t="e">
        <f>CONCENTRADO!I10</f>
        <v>#DIV/0!</v>
      </c>
      <c r="O10" s="142" t="e">
        <f t="shared" si="12"/>
        <v>#DIV/0!</v>
      </c>
      <c r="P10" s="212" t="e">
        <f t="shared" si="1"/>
        <v>#DIV/0!</v>
      </c>
      <c r="Q10" s="4" t="s">
        <v>12</v>
      </c>
      <c r="R10" s="143" t="e">
        <f t="shared" si="2"/>
        <v>#DIV/0!</v>
      </c>
      <c r="S10" s="143" t="e">
        <f t="shared" si="3"/>
        <v>#DIV/0!</v>
      </c>
      <c r="T10" s="143" t="e">
        <f t="shared" si="4"/>
        <v>#DIV/0!</v>
      </c>
      <c r="U10" s="143" t="e">
        <f t="shared" si="5"/>
        <v>#DIV/0!</v>
      </c>
      <c r="V10" s="144" t="e">
        <f t="shared" si="6"/>
        <v>#DIV/0!</v>
      </c>
      <c r="W10" s="145" t="e">
        <f t="shared" si="7"/>
        <v>#DIV/0!</v>
      </c>
      <c r="X10" s="4" t="s">
        <v>12</v>
      </c>
      <c r="Y10" s="146" t="e">
        <f t="shared" si="8"/>
        <v>#DIV/0!</v>
      </c>
      <c r="Z10" s="146" t="e">
        <f t="shared" si="8"/>
        <v>#DIV/0!</v>
      </c>
      <c r="AA10" s="146" t="e">
        <f t="shared" si="8"/>
        <v>#DIV/0!</v>
      </c>
      <c r="AB10" s="146" t="e">
        <f t="shared" si="8"/>
        <v>#DIV/0!</v>
      </c>
      <c r="AC10" s="147" t="e">
        <f t="shared" si="9"/>
        <v>#DIV/0!</v>
      </c>
      <c r="AD10" s="148" t="e">
        <f t="shared" si="10"/>
        <v>#DIV/0!</v>
      </c>
      <c r="AE10" s="149"/>
      <c r="AF10" s="150" t="e">
        <f t="shared" si="13"/>
        <v>#DIV/0!</v>
      </c>
      <c r="AG10" s="150" t="e">
        <f t="shared" si="14"/>
        <v>#DIV/0!</v>
      </c>
      <c r="AH10" s="150" t="e">
        <f t="shared" si="15"/>
        <v>#DIV/0!</v>
      </c>
      <c r="AI10" s="150" t="e">
        <f t="shared" si="16"/>
        <v>#DIV/0!</v>
      </c>
      <c r="AJ10" s="150"/>
      <c r="AK10" s="150" t="e">
        <f t="shared" si="17"/>
        <v>#DIV/0!</v>
      </c>
      <c r="AL10" s="150" t="e">
        <f t="shared" si="18"/>
        <v>#DIV/0!</v>
      </c>
      <c r="AM10" s="150" t="e">
        <f t="shared" si="19"/>
        <v>#DIV/0!</v>
      </c>
      <c r="AN10" s="150" t="e">
        <f t="shared" si="20"/>
        <v>#DIV/0!</v>
      </c>
      <c r="AO10" s="56"/>
      <c r="AP10" s="56"/>
      <c r="AQ10" s="56"/>
      <c r="AR10" s="56"/>
    </row>
    <row r="11" spans="1:44" ht="20.100000000000001" customHeight="1">
      <c r="A11" s="4" t="s">
        <v>13</v>
      </c>
      <c r="B11" s="217">
        <v>1</v>
      </c>
      <c r="C11" s="130" t="e">
        <f>CONCENTRADO!B11</f>
        <v>#DIV/0!</v>
      </c>
      <c r="D11" s="130" t="e">
        <f>CONCENTRADO!C11</f>
        <v>#DIV/0!</v>
      </c>
      <c r="E11" s="130" t="e">
        <f>CONCENTRADO!D11</f>
        <v>#DIV/0!</v>
      </c>
      <c r="F11" s="130" t="e">
        <f>CONCENTRADO!E11</f>
        <v>#DIV/0!</v>
      </c>
      <c r="G11" s="142" t="e">
        <f t="shared" si="11"/>
        <v>#DIV/0!</v>
      </c>
      <c r="H11" s="212" t="e">
        <f t="shared" si="0"/>
        <v>#DIV/0!</v>
      </c>
      <c r="I11" s="115" t="s">
        <v>13</v>
      </c>
      <c r="J11" s="219">
        <v>2</v>
      </c>
      <c r="K11" s="116" t="e">
        <f>CONCENTRADO!F11</f>
        <v>#DIV/0!</v>
      </c>
      <c r="L11" s="116" t="e">
        <f>CONCENTRADO!G11</f>
        <v>#DIV/0!</v>
      </c>
      <c r="M11" s="116" t="e">
        <f>CONCENTRADO!H11</f>
        <v>#DIV/0!</v>
      </c>
      <c r="N11" s="116" t="e">
        <f>CONCENTRADO!I11</f>
        <v>#DIV/0!</v>
      </c>
      <c r="O11" s="142" t="e">
        <f t="shared" si="12"/>
        <v>#DIV/0!</v>
      </c>
      <c r="P11" s="212" t="e">
        <f t="shared" si="1"/>
        <v>#DIV/0!</v>
      </c>
      <c r="Q11" s="4" t="s">
        <v>13</v>
      </c>
      <c r="R11" s="143" t="e">
        <f t="shared" si="2"/>
        <v>#DIV/0!</v>
      </c>
      <c r="S11" s="143" t="e">
        <f t="shared" si="3"/>
        <v>#DIV/0!</v>
      </c>
      <c r="T11" s="143" t="e">
        <f t="shared" si="4"/>
        <v>#DIV/0!</v>
      </c>
      <c r="U11" s="143" t="e">
        <f t="shared" si="5"/>
        <v>#DIV/0!</v>
      </c>
      <c r="V11" s="144" t="e">
        <f t="shared" si="6"/>
        <v>#DIV/0!</v>
      </c>
      <c r="W11" s="145" t="e">
        <f t="shared" si="7"/>
        <v>#DIV/0!</v>
      </c>
      <c r="X11" s="4" t="s">
        <v>13</v>
      </c>
      <c r="Y11" s="146" t="e">
        <f t="shared" si="8"/>
        <v>#DIV/0!</v>
      </c>
      <c r="Z11" s="146" t="e">
        <f t="shared" si="8"/>
        <v>#DIV/0!</v>
      </c>
      <c r="AA11" s="146" t="e">
        <f t="shared" si="8"/>
        <v>#DIV/0!</v>
      </c>
      <c r="AB11" s="146" t="e">
        <f t="shared" si="8"/>
        <v>#DIV/0!</v>
      </c>
      <c r="AC11" s="147" t="e">
        <f t="shared" si="9"/>
        <v>#DIV/0!</v>
      </c>
      <c r="AD11" s="148" t="e">
        <f t="shared" si="10"/>
        <v>#DIV/0!</v>
      </c>
      <c r="AE11" s="149"/>
      <c r="AF11" s="150" t="e">
        <f t="shared" si="13"/>
        <v>#DIV/0!</v>
      </c>
      <c r="AG11" s="150" t="e">
        <f t="shared" si="14"/>
        <v>#DIV/0!</v>
      </c>
      <c r="AH11" s="150" t="e">
        <f t="shared" si="15"/>
        <v>#DIV/0!</v>
      </c>
      <c r="AI11" s="150" t="e">
        <f t="shared" si="16"/>
        <v>#DIV/0!</v>
      </c>
      <c r="AJ11" s="150"/>
      <c r="AK11" s="150" t="e">
        <f t="shared" si="17"/>
        <v>#DIV/0!</v>
      </c>
      <c r="AL11" s="150" t="e">
        <f t="shared" si="18"/>
        <v>#DIV/0!</v>
      </c>
      <c r="AM11" s="150" t="e">
        <f t="shared" si="19"/>
        <v>#DIV/0!</v>
      </c>
      <c r="AN11" s="150" t="e">
        <f t="shared" si="20"/>
        <v>#DIV/0!</v>
      </c>
      <c r="AO11" s="56"/>
      <c r="AP11" s="56"/>
      <c r="AQ11" s="56"/>
      <c r="AR11" s="56"/>
    </row>
    <row r="12" spans="1:44" ht="20.100000000000001" customHeight="1">
      <c r="A12" s="4" t="s">
        <v>14</v>
      </c>
      <c r="B12" s="217">
        <v>1</v>
      </c>
      <c r="C12" s="130" t="e">
        <f>CONCENTRADO!B12</f>
        <v>#DIV/0!</v>
      </c>
      <c r="D12" s="130" t="e">
        <f>CONCENTRADO!C12</f>
        <v>#DIV/0!</v>
      </c>
      <c r="E12" s="130" t="e">
        <f>CONCENTRADO!D12</f>
        <v>#DIV/0!</v>
      </c>
      <c r="F12" s="130" t="e">
        <f>CONCENTRADO!E12</f>
        <v>#DIV/0!</v>
      </c>
      <c r="G12" s="142" t="e">
        <f t="shared" si="11"/>
        <v>#DIV/0!</v>
      </c>
      <c r="H12" s="212" t="e">
        <f t="shared" si="0"/>
        <v>#DIV/0!</v>
      </c>
      <c r="I12" s="115" t="s">
        <v>14</v>
      </c>
      <c r="J12" s="219">
        <v>2</v>
      </c>
      <c r="K12" s="116" t="e">
        <f>CONCENTRADO!F12</f>
        <v>#DIV/0!</v>
      </c>
      <c r="L12" s="116" t="e">
        <f>CONCENTRADO!G12</f>
        <v>#DIV/0!</v>
      </c>
      <c r="M12" s="116" t="e">
        <f>CONCENTRADO!H12</f>
        <v>#DIV/0!</v>
      </c>
      <c r="N12" s="116" t="e">
        <f>CONCENTRADO!I12</f>
        <v>#DIV/0!</v>
      </c>
      <c r="O12" s="142" t="e">
        <f t="shared" si="12"/>
        <v>#DIV/0!</v>
      </c>
      <c r="P12" s="212" t="e">
        <f t="shared" si="1"/>
        <v>#DIV/0!</v>
      </c>
      <c r="Q12" s="4" t="s">
        <v>14</v>
      </c>
      <c r="R12" s="143" t="e">
        <f t="shared" si="2"/>
        <v>#DIV/0!</v>
      </c>
      <c r="S12" s="143" t="e">
        <f t="shared" si="3"/>
        <v>#DIV/0!</v>
      </c>
      <c r="T12" s="143" t="e">
        <f t="shared" si="4"/>
        <v>#DIV/0!</v>
      </c>
      <c r="U12" s="143" t="e">
        <f t="shared" si="5"/>
        <v>#DIV/0!</v>
      </c>
      <c r="V12" s="144" t="e">
        <f t="shared" si="6"/>
        <v>#DIV/0!</v>
      </c>
      <c r="W12" s="145" t="e">
        <f t="shared" si="7"/>
        <v>#DIV/0!</v>
      </c>
      <c r="X12" s="4" t="s">
        <v>14</v>
      </c>
      <c r="Y12" s="146" t="e">
        <f t="shared" si="8"/>
        <v>#DIV/0!</v>
      </c>
      <c r="Z12" s="146" t="e">
        <f t="shared" si="8"/>
        <v>#DIV/0!</v>
      </c>
      <c r="AA12" s="146" t="e">
        <f t="shared" si="8"/>
        <v>#DIV/0!</v>
      </c>
      <c r="AB12" s="146" t="e">
        <f t="shared" si="8"/>
        <v>#DIV/0!</v>
      </c>
      <c r="AC12" s="147" t="e">
        <f t="shared" si="9"/>
        <v>#DIV/0!</v>
      </c>
      <c r="AD12" s="148" t="e">
        <f t="shared" si="10"/>
        <v>#DIV/0!</v>
      </c>
      <c r="AE12" s="149"/>
      <c r="AF12" s="150" t="e">
        <f t="shared" si="13"/>
        <v>#DIV/0!</v>
      </c>
      <c r="AG12" s="150" t="e">
        <f t="shared" si="14"/>
        <v>#DIV/0!</v>
      </c>
      <c r="AH12" s="150" t="e">
        <f t="shared" si="15"/>
        <v>#DIV/0!</v>
      </c>
      <c r="AI12" s="150" t="e">
        <f t="shared" si="16"/>
        <v>#DIV/0!</v>
      </c>
      <c r="AJ12" s="150"/>
      <c r="AK12" s="150" t="e">
        <f t="shared" si="17"/>
        <v>#DIV/0!</v>
      </c>
      <c r="AL12" s="150" t="e">
        <f t="shared" si="18"/>
        <v>#DIV/0!</v>
      </c>
      <c r="AM12" s="150" t="e">
        <f t="shared" si="19"/>
        <v>#DIV/0!</v>
      </c>
      <c r="AN12" s="150" t="e">
        <f t="shared" si="20"/>
        <v>#DIV/0!</v>
      </c>
      <c r="AO12" s="56"/>
      <c r="AP12" s="56"/>
      <c r="AQ12" s="56"/>
      <c r="AR12" s="56"/>
    </row>
    <row r="13" spans="1:44" ht="20.100000000000001" customHeight="1">
      <c r="A13" s="4" t="s">
        <v>15</v>
      </c>
      <c r="B13" s="217">
        <v>1</v>
      </c>
      <c r="C13" s="130" t="e">
        <f>CONCENTRADO!B13</f>
        <v>#DIV/0!</v>
      </c>
      <c r="D13" s="130" t="e">
        <f>CONCENTRADO!C13</f>
        <v>#DIV/0!</v>
      </c>
      <c r="E13" s="130" t="e">
        <f>CONCENTRADO!D13</f>
        <v>#DIV/0!</v>
      </c>
      <c r="F13" s="130" t="e">
        <f>CONCENTRADO!E13</f>
        <v>#DIV/0!</v>
      </c>
      <c r="G13" s="142" t="e">
        <f t="shared" si="11"/>
        <v>#DIV/0!</v>
      </c>
      <c r="H13" s="212" t="e">
        <f t="shared" si="0"/>
        <v>#DIV/0!</v>
      </c>
      <c r="I13" s="115" t="s">
        <v>15</v>
      </c>
      <c r="J13" s="219">
        <v>2</v>
      </c>
      <c r="K13" s="116" t="e">
        <f>CONCENTRADO!F13</f>
        <v>#DIV/0!</v>
      </c>
      <c r="L13" s="116" t="e">
        <f>CONCENTRADO!G13</f>
        <v>#DIV/0!</v>
      </c>
      <c r="M13" s="116" t="e">
        <f>CONCENTRADO!H13</f>
        <v>#DIV/0!</v>
      </c>
      <c r="N13" s="116" t="e">
        <f>CONCENTRADO!I13</f>
        <v>#DIV/0!</v>
      </c>
      <c r="O13" s="142" t="e">
        <f t="shared" si="12"/>
        <v>#DIV/0!</v>
      </c>
      <c r="P13" s="212" t="e">
        <f t="shared" si="1"/>
        <v>#DIV/0!</v>
      </c>
      <c r="Q13" s="4" t="s">
        <v>15</v>
      </c>
      <c r="R13" s="143" t="e">
        <f t="shared" si="2"/>
        <v>#DIV/0!</v>
      </c>
      <c r="S13" s="143" t="e">
        <f t="shared" si="3"/>
        <v>#DIV/0!</v>
      </c>
      <c r="T13" s="143" t="e">
        <f t="shared" si="4"/>
        <v>#DIV/0!</v>
      </c>
      <c r="U13" s="143" t="e">
        <f t="shared" si="5"/>
        <v>#DIV/0!</v>
      </c>
      <c r="V13" s="144" t="e">
        <f t="shared" si="6"/>
        <v>#DIV/0!</v>
      </c>
      <c r="W13" s="145" t="e">
        <f t="shared" si="7"/>
        <v>#DIV/0!</v>
      </c>
      <c r="X13" s="4" t="s">
        <v>15</v>
      </c>
      <c r="Y13" s="146" t="e">
        <f t="shared" si="8"/>
        <v>#DIV/0!</v>
      </c>
      <c r="Z13" s="146" t="e">
        <f t="shared" si="8"/>
        <v>#DIV/0!</v>
      </c>
      <c r="AA13" s="146" t="e">
        <f t="shared" si="8"/>
        <v>#DIV/0!</v>
      </c>
      <c r="AB13" s="146" t="e">
        <f t="shared" si="8"/>
        <v>#DIV/0!</v>
      </c>
      <c r="AC13" s="147" t="e">
        <f t="shared" si="9"/>
        <v>#DIV/0!</v>
      </c>
      <c r="AD13" s="148" t="e">
        <f t="shared" si="10"/>
        <v>#DIV/0!</v>
      </c>
      <c r="AE13" s="149"/>
      <c r="AF13" s="150" t="e">
        <f t="shared" si="13"/>
        <v>#DIV/0!</v>
      </c>
      <c r="AG13" s="150" t="e">
        <f t="shared" si="14"/>
        <v>#DIV/0!</v>
      </c>
      <c r="AH13" s="150" t="e">
        <f t="shared" si="15"/>
        <v>#DIV/0!</v>
      </c>
      <c r="AI13" s="150" t="e">
        <f t="shared" si="16"/>
        <v>#DIV/0!</v>
      </c>
      <c r="AJ13" s="150"/>
      <c r="AK13" s="150" t="e">
        <f t="shared" si="17"/>
        <v>#DIV/0!</v>
      </c>
      <c r="AL13" s="150" t="e">
        <f t="shared" si="18"/>
        <v>#DIV/0!</v>
      </c>
      <c r="AM13" s="150" t="e">
        <f t="shared" si="19"/>
        <v>#DIV/0!</v>
      </c>
      <c r="AN13" s="150" t="e">
        <f t="shared" si="20"/>
        <v>#DIV/0!</v>
      </c>
      <c r="AO13" s="56"/>
      <c r="AP13" s="56"/>
      <c r="AQ13" s="56"/>
      <c r="AR13" s="56"/>
    </row>
    <row r="14" spans="1:44" ht="20.100000000000001" customHeight="1">
      <c r="A14" s="117" t="s">
        <v>16</v>
      </c>
      <c r="B14" s="218">
        <v>1</v>
      </c>
      <c r="C14" s="118" t="e">
        <f>SUM(C4:C13)/10</f>
        <v>#DIV/0!</v>
      </c>
      <c r="D14" s="118" t="e">
        <f>SUM(D4:D13)/10</f>
        <v>#DIV/0!</v>
      </c>
      <c r="E14" s="118" t="e">
        <f>SUM(E4:E13)/10</f>
        <v>#DIV/0!</v>
      </c>
      <c r="F14" s="118" t="e">
        <f>SUM(F4:F13)/10</f>
        <v>#DIV/0!</v>
      </c>
      <c r="G14" s="118" t="e">
        <f>SQRT(SUMSQ(AF14:AI14))</f>
        <v>#DIV/0!</v>
      </c>
      <c r="H14" s="118" t="e">
        <f t="shared" si="0"/>
        <v>#DIV/0!</v>
      </c>
      <c r="I14" s="16" t="s">
        <v>16</v>
      </c>
      <c r="J14" s="218">
        <v>2</v>
      </c>
      <c r="K14" s="118" t="e">
        <f>SUM(K4:K13)/10</f>
        <v>#DIV/0!</v>
      </c>
      <c r="L14" s="118" t="e">
        <f>SUM(L4:L13)/10</f>
        <v>#DIV/0!</v>
      </c>
      <c r="M14" s="118" t="e">
        <f>SUM(M4:M13)/10</f>
        <v>#DIV/0!</v>
      </c>
      <c r="N14" s="118" t="e">
        <f>SUM(N4:N13)/10</f>
        <v>#DIV/0!</v>
      </c>
      <c r="O14" s="197" t="e">
        <f t="shared" si="12"/>
        <v>#DIV/0!</v>
      </c>
      <c r="P14" s="237" t="e">
        <f t="shared" si="1"/>
        <v>#DIV/0!</v>
      </c>
      <c r="Q14" s="16" t="s">
        <v>16</v>
      </c>
      <c r="R14" s="143" t="e">
        <f t="shared" si="2"/>
        <v>#DIV/0!</v>
      </c>
      <c r="S14" s="143" t="e">
        <f t="shared" si="3"/>
        <v>#DIV/0!</v>
      </c>
      <c r="T14" s="143" t="e">
        <f t="shared" si="4"/>
        <v>#DIV/0!</v>
      </c>
      <c r="U14" s="143" t="e">
        <f t="shared" si="5"/>
        <v>#DIV/0!</v>
      </c>
      <c r="V14" s="144" t="e">
        <f t="shared" si="6"/>
        <v>#DIV/0!</v>
      </c>
      <c r="W14" s="145" t="e">
        <f t="shared" si="7"/>
        <v>#DIV/0!</v>
      </c>
      <c r="X14" s="16" t="s">
        <v>16</v>
      </c>
      <c r="Y14" s="146" t="e">
        <f t="shared" si="8"/>
        <v>#DIV/0!</v>
      </c>
      <c r="Z14" s="146" t="e">
        <f t="shared" si="8"/>
        <v>#DIV/0!</v>
      </c>
      <c r="AA14" s="146" t="e">
        <f t="shared" si="8"/>
        <v>#DIV/0!</v>
      </c>
      <c r="AB14" s="146" t="e">
        <f t="shared" si="8"/>
        <v>#DIV/0!</v>
      </c>
      <c r="AC14" s="147" t="e">
        <f t="shared" si="9"/>
        <v>#DIV/0!</v>
      </c>
      <c r="AD14" s="148" t="e">
        <f t="shared" si="10"/>
        <v>#DIV/0!</v>
      </c>
      <c r="AE14" s="149"/>
      <c r="AF14" s="150" t="e">
        <f t="shared" si="13"/>
        <v>#DIV/0!</v>
      </c>
      <c r="AG14" s="150" t="e">
        <f t="shared" si="14"/>
        <v>#DIV/0!</v>
      </c>
      <c r="AH14" s="150" t="e">
        <f t="shared" si="15"/>
        <v>#DIV/0!</v>
      </c>
      <c r="AI14" s="150" t="e">
        <f t="shared" si="16"/>
        <v>#DIV/0!</v>
      </c>
      <c r="AJ14" s="150"/>
      <c r="AK14" s="150" t="e">
        <f t="shared" si="17"/>
        <v>#DIV/0!</v>
      </c>
      <c r="AL14" s="150" t="e">
        <f t="shared" si="18"/>
        <v>#DIV/0!</v>
      </c>
      <c r="AM14" s="150" t="e">
        <f t="shared" si="19"/>
        <v>#DIV/0!</v>
      </c>
      <c r="AN14" s="150" t="e">
        <f t="shared" si="20"/>
        <v>#DIV/0!</v>
      </c>
      <c r="AO14" s="56"/>
      <c r="AP14" s="56"/>
      <c r="AQ14" s="56"/>
      <c r="AR14" s="56"/>
    </row>
    <row r="15" spans="1:44" ht="20.100000000000001" hidden="1" customHeight="1">
      <c r="A15" s="133" t="s">
        <v>4</v>
      </c>
      <c r="B15" s="133"/>
      <c r="C15" s="135">
        <v>30</v>
      </c>
      <c r="D15" s="135">
        <v>20</v>
      </c>
      <c r="E15" s="135">
        <v>30</v>
      </c>
      <c r="F15" s="135">
        <v>20</v>
      </c>
      <c r="G15" s="135">
        <f>SQRT(SUMSQ(C15:F15))</f>
        <v>50.990195135927848</v>
      </c>
      <c r="H15" s="136"/>
      <c r="I15" s="133" t="s">
        <v>4</v>
      </c>
      <c r="J15" s="133"/>
      <c r="K15" s="134">
        <v>30</v>
      </c>
      <c r="L15" s="134">
        <v>20</v>
      </c>
      <c r="M15" s="134">
        <v>30</v>
      </c>
      <c r="N15" s="134">
        <v>20</v>
      </c>
      <c r="O15" s="154">
        <f>SQRT(SUMSQ(K15:N15))</f>
        <v>50.990195135927848</v>
      </c>
      <c r="P15" s="151"/>
      <c r="Q15" s="152"/>
      <c r="R15" s="152"/>
      <c r="S15" s="152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  <c r="AH15" s="153"/>
      <c r="AI15" s="153"/>
      <c r="AJ15" s="153"/>
      <c r="AK15" s="153"/>
      <c r="AL15" s="138"/>
      <c r="AM15" s="138"/>
      <c r="AN15" s="138"/>
    </row>
    <row r="16" spans="1:44" s="5" customFormat="1" ht="12.95" hidden="1" customHeight="1">
      <c r="A16" s="6"/>
      <c r="B16" s="6"/>
      <c r="C16" s="6"/>
      <c r="D16" s="6"/>
      <c r="E16" s="7"/>
      <c r="F16" s="7"/>
      <c r="G16" s="7"/>
      <c r="H16" s="7"/>
      <c r="I16" s="7"/>
      <c r="J16" s="7"/>
      <c r="K16" s="7"/>
      <c r="L16" s="7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</row>
    <row r="17" spans="1:24" s="5" customFormat="1" ht="12.95" hidden="1" customHeight="1">
      <c r="A17" s="3"/>
      <c r="B17" s="3"/>
      <c r="C17" s="3"/>
      <c r="D17" s="3"/>
      <c r="E17" s="3" t="s">
        <v>5</v>
      </c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8"/>
      <c r="X17" s="8"/>
    </row>
    <row r="18" spans="1:24" s="5" customFormat="1" ht="38.25" hidden="1" customHeight="1">
      <c r="A18" s="3" t="str">
        <f>Q3</f>
        <v>Jurisdicción Sanitaria</v>
      </c>
      <c r="B18" s="3"/>
      <c r="C18" s="40" t="str">
        <f>B2</f>
        <v>1er. Semestre 2012</v>
      </c>
      <c r="D18" s="40" t="str">
        <f>J2</f>
        <v>1er. Semestre 2013</v>
      </c>
      <c r="E18" s="39" t="str">
        <f t="shared" ref="E18:E29" si="21">W3</f>
        <v>Indice de comparación vectorial</v>
      </c>
      <c r="F18" s="39" t="str">
        <f t="shared" ref="F18:F29" si="22">R3</f>
        <v>Diagnóstico Oportuno</v>
      </c>
      <c r="G18" s="39" t="str">
        <f t="shared" ref="G18:G29" si="23">S3</f>
        <v>Calidad en el Diagnóstico</v>
      </c>
      <c r="H18" s="39" t="str">
        <f t="shared" ref="H18:H29" si="24">T3</f>
        <v>Cobertura del Tratamiento</v>
      </c>
      <c r="I18" s="39" t="str">
        <f t="shared" ref="I18:I29" si="25">U3</f>
        <v>Examen de Contactos</v>
      </c>
      <c r="J18" s="39" t="str">
        <f t="shared" ref="J18:J29" si="26">AC3</f>
        <v>Velocidad de cambio Magnitud vectorial</v>
      </c>
      <c r="K18" s="40" t="str">
        <f t="shared" ref="K18:K29" si="27">Y3</f>
        <v>Diagnóstico Oportuno</v>
      </c>
      <c r="L18" s="40" t="str">
        <f t="shared" ref="L18:L29" si="28">Z3</f>
        <v>Calidad en el Diagnóstico</v>
      </c>
      <c r="M18" s="40" t="str">
        <f t="shared" ref="M18:M29" si="29">AA3</f>
        <v>Cobertura del Tratamiento</v>
      </c>
      <c r="N18" s="40" t="str">
        <f t="shared" ref="N18:N29" si="30">AB3</f>
        <v>Examen de Contactos</v>
      </c>
    </row>
    <row r="19" spans="1:24" s="5" customFormat="1" ht="12.95" hidden="1" customHeight="1">
      <c r="A19" s="11" t="str">
        <f t="shared" ref="A19:A29" si="31">A4</f>
        <v>Tuxtla</v>
      </c>
      <c r="B19" s="3" t="s">
        <v>17</v>
      </c>
      <c r="C19" s="10" t="e">
        <f t="shared" ref="C19:C29" si="32">H4</f>
        <v>#DIV/0!</v>
      </c>
      <c r="D19" s="10" t="e">
        <f t="shared" ref="D19:D29" si="33">P4</f>
        <v>#DIV/0!</v>
      </c>
      <c r="E19" s="110" t="e">
        <f t="shared" si="21"/>
        <v>#DIV/0!</v>
      </c>
      <c r="F19" s="110" t="e">
        <f t="shared" si="22"/>
        <v>#DIV/0!</v>
      </c>
      <c r="G19" s="110" t="e">
        <f t="shared" si="23"/>
        <v>#DIV/0!</v>
      </c>
      <c r="H19" s="110" t="e">
        <f t="shared" si="24"/>
        <v>#DIV/0!</v>
      </c>
      <c r="I19" s="110" t="e">
        <f t="shared" si="25"/>
        <v>#DIV/0!</v>
      </c>
      <c r="J19" s="110" t="e">
        <f t="shared" si="26"/>
        <v>#DIV/0!</v>
      </c>
      <c r="K19" s="10" t="e">
        <f t="shared" si="27"/>
        <v>#DIV/0!</v>
      </c>
      <c r="L19" s="10" t="e">
        <f t="shared" si="28"/>
        <v>#DIV/0!</v>
      </c>
      <c r="M19" s="10" t="e">
        <f t="shared" si="29"/>
        <v>#DIV/0!</v>
      </c>
      <c r="N19" s="10" t="e">
        <f t="shared" si="30"/>
        <v>#DIV/0!</v>
      </c>
    </row>
    <row r="20" spans="1:24" s="5" customFormat="1" ht="12.95" hidden="1" customHeight="1">
      <c r="A20" s="11" t="str">
        <f t="shared" si="31"/>
        <v>San Cristóbal</v>
      </c>
      <c r="B20" s="3" t="s">
        <v>18</v>
      </c>
      <c r="C20" s="10" t="e">
        <f t="shared" si="32"/>
        <v>#DIV/0!</v>
      </c>
      <c r="D20" s="10" t="e">
        <f t="shared" si="33"/>
        <v>#DIV/0!</v>
      </c>
      <c r="E20" s="110" t="e">
        <f t="shared" si="21"/>
        <v>#DIV/0!</v>
      </c>
      <c r="F20" s="110" t="e">
        <f t="shared" si="22"/>
        <v>#DIV/0!</v>
      </c>
      <c r="G20" s="110" t="e">
        <f t="shared" si="23"/>
        <v>#DIV/0!</v>
      </c>
      <c r="H20" s="110" t="e">
        <f t="shared" si="24"/>
        <v>#DIV/0!</v>
      </c>
      <c r="I20" s="110" t="e">
        <f t="shared" si="25"/>
        <v>#DIV/0!</v>
      </c>
      <c r="J20" s="110" t="e">
        <f t="shared" si="26"/>
        <v>#DIV/0!</v>
      </c>
      <c r="K20" s="10" t="e">
        <f t="shared" si="27"/>
        <v>#DIV/0!</v>
      </c>
      <c r="L20" s="10" t="e">
        <f t="shared" si="28"/>
        <v>#DIV/0!</v>
      </c>
      <c r="M20" s="10" t="e">
        <f t="shared" si="29"/>
        <v>#DIV/0!</v>
      </c>
      <c r="N20" s="10" t="e">
        <f t="shared" si="30"/>
        <v>#DIV/0!</v>
      </c>
    </row>
    <row r="21" spans="1:24" s="5" customFormat="1" ht="12.95" hidden="1" customHeight="1">
      <c r="A21" s="11" t="str">
        <f t="shared" si="31"/>
        <v>Comitán</v>
      </c>
      <c r="B21" s="3" t="s">
        <v>19</v>
      </c>
      <c r="C21" s="10" t="e">
        <f t="shared" si="32"/>
        <v>#DIV/0!</v>
      </c>
      <c r="D21" s="10" t="e">
        <f t="shared" si="33"/>
        <v>#DIV/0!</v>
      </c>
      <c r="E21" s="110" t="e">
        <f t="shared" si="21"/>
        <v>#DIV/0!</v>
      </c>
      <c r="F21" s="110" t="e">
        <f t="shared" si="22"/>
        <v>#DIV/0!</v>
      </c>
      <c r="G21" s="110" t="e">
        <f t="shared" si="23"/>
        <v>#DIV/0!</v>
      </c>
      <c r="H21" s="110" t="e">
        <f t="shared" si="24"/>
        <v>#DIV/0!</v>
      </c>
      <c r="I21" s="110" t="e">
        <f t="shared" si="25"/>
        <v>#DIV/0!</v>
      </c>
      <c r="J21" s="110" t="e">
        <f t="shared" si="26"/>
        <v>#DIV/0!</v>
      </c>
      <c r="K21" s="10" t="e">
        <f t="shared" si="27"/>
        <v>#DIV/0!</v>
      </c>
      <c r="L21" s="10" t="e">
        <f t="shared" si="28"/>
        <v>#DIV/0!</v>
      </c>
      <c r="M21" s="10" t="e">
        <f t="shared" si="29"/>
        <v>#DIV/0!</v>
      </c>
      <c r="N21" s="10" t="e">
        <f t="shared" si="30"/>
        <v>#DIV/0!</v>
      </c>
    </row>
    <row r="22" spans="1:24" s="5" customFormat="1" ht="12.95" hidden="1" customHeight="1">
      <c r="A22" s="11" t="str">
        <f t="shared" si="31"/>
        <v>Villaflores</v>
      </c>
      <c r="B22" s="3" t="s">
        <v>20</v>
      </c>
      <c r="C22" s="10" t="e">
        <f t="shared" si="32"/>
        <v>#DIV/0!</v>
      </c>
      <c r="D22" s="10" t="e">
        <f t="shared" si="33"/>
        <v>#DIV/0!</v>
      </c>
      <c r="E22" s="110" t="e">
        <f t="shared" si="21"/>
        <v>#DIV/0!</v>
      </c>
      <c r="F22" s="110" t="e">
        <f t="shared" si="22"/>
        <v>#DIV/0!</v>
      </c>
      <c r="G22" s="110" t="e">
        <f t="shared" si="23"/>
        <v>#DIV/0!</v>
      </c>
      <c r="H22" s="110" t="e">
        <f t="shared" si="24"/>
        <v>#DIV/0!</v>
      </c>
      <c r="I22" s="110" t="e">
        <f t="shared" si="25"/>
        <v>#DIV/0!</v>
      </c>
      <c r="J22" s="110" t="e">
        <f t="shared" si="26"/>
        <v>#DIV/0!</v>
      </c>
      <c r="K22" s="10" t="e">
        <f t="shared" si="27"/>
        <v>#DIV/0!</v>
      </c>
      <c r="L22" s="10" t="e">
        <f t="shared" si="28"/>
        <v>#DIV/0!</v>
      </c>
      <c r="M22" s="10" t="e">
        <f t="shared" si="29"/>
        <v>#DIV/0!</v>
      </c>
      <c r="N22" s="10" t="e">
        <f t="shared" si="30"/>
        <v>#DIV/0!</v>
      </c>
    </row>
    <row r="23" spans="1:24" s="5" customFormat="1" ht="12.95" hidden="1" customHeight="1">
      <c r="A23" s="11" t="str">
        <f t="shared" si="31"/>
        <v>Pichucalco</v>
      </c>
      <c r="B23" s="3" t="s">
        <v>21</v>
      </c>
      <c r="C23" s="10" t="e">
        <f t="shared" si="32"/>
        <v>#DIV/0!</v>
      </c>
      <c r="D23" s="10" t="e">
        <f t="shared" si="33"/>
        <v>#DIV/0!</v>
      </c>
      <c r="E23" s="110" t="e">
        <f t="shared" si="21"/>
        <v>#DIV/0!</v>
      </c>
      <c r="F23" s="110" t="e">
        <f t="shared" si="22"/>
        <v>#DIV/0!</v>
      </c>
      <c r="G23" s="110" t="e">
        <f t="shared" si="23"/>
        <v>#DIV/0!</v>
      </c>
      <c r="H23" s="110" t="e">
        <f t="shared" si="24"/>
        <v>#DIV/0!</v>
      </c>
      <c r="I23" s="110" t="e">
        <f t="shared" si="25"/>
        <v>#DIV/0!</v>
      </c>
      <c r="J23" s="110" t="e">
        <f t="shared" si="26"/>
        <v>#DIV/0!</v>
      </c>
      <c r="K23" s="10" t="e">
        <f t="shared" si="27"/>
        <v>#DIV/0!</v>
      </c>
      <c r="L23" s="10" t="e">
        <f t="shared" si="28"/>
        <v>#DIV/0!</v>
      </c>
      <c r="M23" s="10" t="e">
        <f t="shared" si="29"/>
        <v>#DIV/0!</v>
      </c>
      <c r="N23" s="10" t="e">
        <f t="shared" si="30"/>
        <v>#DIV/0!</v>
      </c>
    </row>
    <row r="24" spans="1:24" s="5" customFormat="1" ht="12.95" hidden="1" customHeight="1">
      <c r="A24" s="11" t="str">
        <f t="shared" si="31"/>
        <v>Palenque</v>
      </c>
      <c r="B24" s="3" t="s">
        <v>22</v>
      </c>
      <c r="C24" s="10" t="e">
        <f t="shared" si="32"/>
        <v>#DIV/0!</v>
      </c>
      <c r="D24" s="10" t="e">
        <f t="shared" si="33"/>
        <v>#DIV/0!</v>
      </c>
      <c r="E24" s="110" t="e">
        <f t="shared" si="21"/>
        <v>#DIV/0!</v>
      </c>
      <c r="F24" s="110" t="e">
        <f t="shared" si="22"/>
        <v>#DIV/0!</v>
      </c>
      <c r="G24" s="110" t="e">
        <f t="shared" si="23"/>
        <v>#DIV/0!</v>
      </c>
      <c r="H24" s="110" t="e">
        <f t="shared" si="24"/>
        <v>#DIV/0!</v>
      </c>
      <c r="I24" s="110" t="e">
        <f t="shared" si="25"/>
        <v>#DIV/0!</v>
      </c>
      <c r="J24" s="110" t="e">
        <f t="shared" si="26"/>
        <v>#DIV/0!</v>
      </c>
      <c r="K24" s="10" t="e">
        <f t="shared" si="27"/>
        <v>#DIV/0!</v>
      </c>
      <c r="L24" s="10" t="e">
        <f t="shared" si="28"/>
        <v>#DIV/0!</v>
      </c>
      <c r="M24" s="10" t="e">
        <f t="shared" si="29"/>
        <v>#DIV/0!</v>
      </c>
      <c r="N24" s="10" t="e">
        <f t="shared" si="30"/>
        <v>#DIV/0!</v>
      </c>
    </row>
    <row r="25" spans="1:24" s="5" customFormat="1" ht="12.95" hidden="1" customHeight="1">
      <c r="A25" s="11" t="str">
        <f t="shared" si="31"/>
        <v>Tapachula</v>
      </c>
      <c r="B25" s="3" t="s">
        <v>23</v>
      </c>
      <c r="C25" s="10" t="e">
        <f t="shared" si="32"/>
        <v>#DIV/0!</v>
      </c>
      <c r="D25" s="10" t="e">
        <f t="shared" si="33"/>
        <v>#DIV/0!</v>
      </c>
      <c r="E25" s="110" t="e">
        <f t="shared" si="21"/>
        <v>#DIV/0!</v>
      </c>
      <c r="F25" s="110" t="e">
        <f t="shared" si="22"/>
        <v>#DIV/0!</v>
      </c>
      <c r="G25" s="110" t="e">
        <f t="shared" si="23"/>
        <v>#DIV/0!</v>
      </c>
      <c r="H25" s="110" t="e">
        <f t="shared" si="24"/>
        <v>#DIV/0!</v>
      </c>
      <c r="I25" s="110" t="e">
        <f t="shared" si="25"/>
        <v>#DIV/0!</v>
      </c>
      <c r="J25" s="110" t="e">
        <f t="shared" si="26"/>
        <v>#DIV/0!</v>
      </c>
      <c r="K25" s="10" t="e">
        <f t="shared" si="27"/>
        <v>#DIV/0!</v>
      </c>
      <c r="L25" s="10" t="e">
        <f t="shared" si="28"/>
        <v>#DIV/0!</v>
      </c>
      <c r="M25" s="10" t="e">
        <f t="shared" si="29"/>
        <v>#DIV/0!</v>
      </c>
      <c r="N25" s="10" t="e">
        <f t="shared" si="30"/>
        <v>#DIV/0!</v>
      </c>
    </row>
    <row r="26" spans="1:24" s="5" customFormat="1" ht="12.95" hidden="1" customHeight="1">
      <c r="A26" s="11" t="str">
        <f t="shared" si="31"/>
        <v>Tonalá</v>
      </c>
      <c r="B26" s="3" t="s">
        <v>24</v>
      </c>
      <c r="C26" s="10" t="e">
        <f t="shared" si="32"/>
        <v>#DIV/0!</v>
      </c>
      <c r="D26" s="10" t="e">
        <f t="shared" si="33"/>
        <v>#DIV/0!</v>
      </c>
      <c r="E26" s="110" t="e">
        <f t="shared" si="21"/>
        <v>#DIV/0!</v>
      </c>
      <c r="F26" s="110" t="e">
        <f t="shared" si="22"/>
        <v>#DIV/0!</v>
      </c>
      <c r="G26" s="110" t="e">
        <f t="shared" si="23"/>
        <v>#DIV/0!</v>
      </c>
      <c r="H26" s="110" t="e">
        <f t="shared" si="24"/>
        <v>#DIV/0!</v>
      </c>
      <c r="I26" s="110" t="e">
        <f t="shared" si="25"/>
        <v>#DIV/0!</v>
      </c>
      <c r="J26" s="110" t="e">
        <f t="shared" si="26"/>
        <v>#DIV/0!</v>
      </c>
      <c r="K26" s="10" t="e">
        <f t="shared" si="27"/>
        <v>#DIV/0!</v>
      </c>
      <c r="L26" s="10" t="e">
        <f t="shared" si="28"/>
        <v>#DIV/0!</v>
      </c>
      <c r="M26" s="10" t="e">
        <f t="shared" si="29"/>
        <v>#DIV/0!</v>
      </c>
      <c r="N26" s="10" t="e">
        <f t="shared" si="30"/>
        <v>#DIV/0!</v>
      </c>
    </row>
    <row r="27" spans="1:24" s="5" customFormat="1" ht="12.95" hidden="1" customHeight="1">
      <c r="A27" s="11" t="str">
        <f t="shared" si="31"/>
        <v>Ocosingo</v>
      </c>
      <c r="B27" s="3" t="s">
        <v>25</v>
      </c>
      <c r="C27" s="10" t="e">
        <f t="shared" si="32"/>
        <v>#DIV/0!</v>
      </c>
      <c r="D27" s="10" t="e">
        <f t="shared" si="33"/>
        <v>#DIV/0!</v>
      </c>
      <c r="E27" s="110" t="e">
        <f t="shared" si="21"/>
        <v>#DIV/0!</v>
      </c>
      <c r="F27" s="110" t="e">
        <f t="shared" si="22"/>
        <v>#DIV/0!</v>
      </c>
      <c r="G27" s="110" t="e">
        <f t="shared" si="23"/>
        <v>#DIV/0!</v>
      </c>
      <c r="H27" s="110" t="e">
        <f t="shared" si="24"/>
        <v>#DIV/0!</v>
      </c>
      <c r="I27" s="110" t="e">
        <f t="shared" si="25"/>
        <v>#DIV/0!</v>
      </c>
      <c r="J27" s="110" t="e">
        <f t="shared" si="26"/>
        <v>#DIV/0!</v>
      </c>
      <c r="K27" s="10" t="e">
        <f t="shared" si="27"/>
        <v>#DIV/0!</v>
      </c>
      <c r="L27" s="10" t="e">
        <f t="shared" si="28"/>
        <v>#DIV/0!</v>
      </c>
      <c r="M27" s="10" t="e">
        <f t="shared" si="29"/>
        <v>#DIV/0!</v>
      </c>
      <c r="N27" s="10" t="e">
        <f t="shared" si="30"/>
        <v>#DIV/0!</v>
      </c>
    </row>
    <row r="28" spans="1:24" s="5" customFormat="1" ht="12.95" hidden="1" customHeight="1">
      <c r="A28" s="11" t="str">
        <f t="shared" si="31"/>
        <v>Motozintla</v>
      </c>
      <c r="B28" s="3" t="s">
        <v>26</v>
      </c>
      <c r="C28" s="10" t="e">
        <f t="shared" si="32"/>
        <v>#DIV/0!</v>
      </c>
      <c r="D28" s="10" t="e">
        <f t="shared" si="33"/>
        <v>#DIV/0!</v>
      </c>
      <c r="E28" s="110" t="e">
        <f t="shared" si="21"/>
        <v>#DIV/0!</v>
      </c>
      <c r="F28" s="110" t="e">
        <f t="shared" si="22"/>
        <v>#DIV/0!</v>
      </c>
      <c r="G28" s="110" t="e">
        <f t="shared" si="23"/>
        <v>#DIV/0!</v>
      </c>
      <c r="H28" s="110" t="e">
        <f t="shared" si="24"/>
        <v>#DIV/0!</v>
      </c>
      <c r="I28" s="110" t="e">
        <f t="shared" si="25"/>
        <v>#DIV/0!</v>
      </c>
      <c r="J28" s="110" t="e">
        <f t="shared" si="26"/>
        <v>#DIV/0!</v>
      </c>
      <c r="K28" s="10" t="e">
        <f t="shared" si="27"/>
        <v>#DIV/0!</v>
      </c>
      <c r="L28" s="10" t="e">
        <f t="shared" si="28"/>
        <v>#DIV/0!</v>
      </c>
      <c r="M28" s="10" t="e">
        <f t="shared" si="29"/>
        <v>#DIV/0!</v>
      </c>
      <c r="N28" s="10" t="e">
        <f t="shared" si="30"/>
        <v>#DIV/0!</v>
      </c>
    </row>
    <row r="29" spans="1:24" s="5" customFormat="1" hidden="1">
      <c r="A29" s="11" t="str">
        <f t="shared" si="31"/>
        <v>Estatal</v>
      </c>
      <c r="B29" s="3" t="s">
        <v>27</v>
      </c>
      <c r="C29" s="10" t="e">
        <f t="shared" si="32"/>
        <v>#DIV/0!</v>
      </c>
      <c r="D29" s="10" t="e">
        <f t="shared" si="33"/>
        <v>#DIV/0!</v>
      </c>
      <c r="E29" s="110" t="e">
        <f t="shared" si="21"/>
        <v>#DIV/0!</v>
      </c>
      <c r="F29" s="110" t="e">
        <f t="shared" si="22"/>
        <v>#DIV/0!</v>
      </c>
      <c r="G29" s="110" t="e">
        <f t="shared" si="23"/>
        <v>#DIV/0!</v>
      </c>
      <c r="H29" s="110" t="e">
        <f t="shared" si="24"/>
        <v>#DIV/0!</v>
      </c>
      <c r="I29" s="110" t="e">
        <f t="shared" si="25"/>
        <v>#DIV/0!</v>
      </c>
      <c r="J29" s="110" t="e">
        <f t="shared" si="26"/>
        <v>#DIV/0!</v>
      </c>
      <c r="K29" s="10" t="e">
        <f t="shared" si="27"/>
        <v>#DIV/0!</v>
      </c>
      <c r="L29" s="10" t="e">
        <f t="shared" si="28"/>
        <v>#DIV/0!</v>
      </c>
      <c r="M29" s="10" t="e">
        <f t="shared" si="29"/>
        <v>#DIV/0!</v>
      </c>
      <c r="N29" s="10" t="e">
        <f t="shared" si="30"/>
        <v>#DIV/0!</v>
      </c>
    </row>
    <row r="30" spans="1:24" s="5" customFormat="1">
      <c r="A30" s="3"/>
      <c r="B30" s="3"/>
      <c r="C30" s="3"/>
      <c r="D30" s="3"/>
      <c r="E30" s="9"/>
      <c r="F30" s="9"/>
      <c r="G30" s="9"/>
      <c r="H30" s="9"/>
      <c r="I30" s="9"/>
      <c r="J30" s="9"/>
      <c r="K30" s="9"/>
      <c r="L30" s="8"/>
      <c r="M30" s="9"/>
      <c r="N30" s="9"/>
      <c r="O30" s="9"/>
      <c r="P30" s="9"/>
    </row>
    <row r="31" spans="1:24" s="5" customFormat="1" ht="27" customHeight="1">
      <c r="A31" s="32" t="s">
        <v>28</v>
      </c>
      <c r="B31" s="32"/>
      <c r="C31" s="32"/>
      <c r="D31" s="32"/>
      <c r="E31" s="9"/>
      <c r="F31" s="9"/>
      <c r="G31" s="9"/>
      <c r="H31" s="9"/>
      <c r="I31" s="9"/>
      <c r="J31" s="9"/>
      <c r="K31" s="9"/>
      <c r="L31" s="8"/>
      <c r="M31" s="9"/>
      <c r="N31" s="9"/>
      <c r="O31" s="9"/>
      <c r="P31" s="9"/>
    </row>
    <row r="32" spans="1:24" s="5" customFormat="1">
      <c r="A32" s="3"/>
      <c r="B32" s="3"/>
      <c r="C32" s="3"/>
      <c r="D32" s="9"/>
      <c r="E32" s="9"/>
      <c r="F32" s="9"/>
      <c r="G32" s="9"/>
      <c r="H32" s="9"/>
      <c r="I32" s="9"/>
      <c r="J32" s="9"/>
      <c r="K32" s="8"/>
      <c r="L32" s="9"/>
      <c r="M32" s="9"/>
      <c r="N32" s="9"/>
      <c r="O32" s="9"/>
    </row>
    <row r="33" spans="1:14" s="5" customFormat="1">
      <c r="A33" s="3"/>
      <c r="B33" s="3"/>
      <c r="C33" s="3"/>
      <c r="D33" s="9"/>
      <c r="E33" s="9"/>
      <c r="F33" s="9"/>
      <c r="G33" s="9"/>
      <c r="H33" s="9"/>
      <c r="I33" s="9"/>
      <c r="J33" s="8"/>
      <c r="K33" s="9"/>
      <c r="L33" s="9"/>
      <c r="M33" s="9"/>
      <c r="N33" s="9"/>
    </row>
    <row r="34" spans="1:14" s="5" customFormat="1">
      <c r="A34" s="3"/>
      <c r="B34" s="3"/>
      <c r="C34" s="3"/>
      <c r="D34" s="9"/>
      <c r="E34" s="9"/>
      <c r="F34" s="9"/>
      <c r="G34" s="9"/>
      <c r="H34" s="9"/>
      <c r="I34" s="9"/>
      <c r="J34" s="8"/>
      <c r="K34" s="9"/>
      <c r="L34" s="9"/>
      <c r="M34" s="9"/>
      <c r="N34" s="9"/>
    </row>
    <row r="35" spans="1:14" s="5" customFormat="1">
      <c r="A35" s="3"/>
      <c r="B35" s="3"/>
      <c r="C35" s="3"/>
      <c r="D35" s="9"/>
      <c r="E35" s="9"/>
      <c r="F35" s="9"/>
      <c r="G35" s="9"/>
      <c r="H35" s="9"/>
      <c r="I35" s="9"/>
      <c r="J35" s="8"/>
      <c r="K35" s="9"/>
      <c r="L35" s="9"/>
      <c r="M35" s="9"/>
      <c r="N35" s="9"/>
    </row>
    <row r="36" spans="1:14" s="5" customFormat="1">
      <c r="A36" s="3"/>
      <c r="B36" s="3"/>
      <c r="C36" s="3"/>
      <c r="D36" s="9"/>
      <c r="E36" s="9"/>
      <c r="F36" s="9"/>
      <c r="G36" s="9"/>
      <c r="H36" s="9"/>
      <c r="I36" s="9"/>
      <c r="J36" s="8"/>
      <c r="K36" s="9"/>
      <c r="L36" s="9"/>
      <c r="M36" s="9"/>
      <c r="N36" s="9"/>
    </row>
    <row r="37" spans="1:14" s="5" customFormat="1">
      <c r="A37" s="3"/>
      <c r="B37" s="3"/>
      <c r="C37" s="3"/>
      <c r="D37" s="9"/>
      <c r="E37" s="9"/>
      <c r="F37" s="9"/>
      <c r="G37" s="9"/>
      <c r="H37" s="9"/>
      <c r="I37" s="9"/>
      <c r="J37" s="8"/>
      <c r="K37" s="9"/>
      <c r="L37" s="9"/>
      <c r="M37" s="9"/>
      <c r="N37" s="9"/>
    </row>
    <row r="38" spans="1:14" s="5" customFormat="1">
      <c r="A38" s="3"/>
      <c r="B38" s="3"/>
      <c r="C38" s="3"/>
      <c r="D38" s="9"/>
      <c r="E38" s="9"/>
      <c r="F38" s="9"/>
      <c r="G38" s="9"/>
      <c r="H38" s="9"/>
      <c r="I38" s="9"/>
      <c r="J38" s="8"/>
      <c r="K38" s="9"/>
      <c r="L38" s="9"/>
      <c r="M38" s="9"/>
      <c r="N38" s="9"/>
    </row>
    <row r="39" spans="1:14" s="5" customFormat="1"/>
    <row r="40" spans="1:14" s="5" customFormat="1">
      <c r="A40" s="28"/>
      <c r="B40" s="28"/>
      <c r="C40" s="28"/>
    </row>
    <row r="41" spans="1:14" s="5" customFormat="1"/>
    <row r="42" spans="1:14" s="5" customFormat="1"/>
    <row r="43" spans="1:14" s="5" customFormat="1"/>
    <row r="44" spans="1:14" s="5" customFormat="1"/>
    <row r="45" spans="1:14" s="5" customFormat="1"/>
    <row r="46" spans="1:14" s="5" customFormat="1"/>
    <row r="47" spans="1:14" s="5" customFormat="1"/>
    <row r="48" spans="1:14" s="5" customFormat="1"/>
    <row r="49" s="5" customFormat="1"/>
    <row r="50" s="5" customFormat="1"/>
    <row r="51" s="5" customFormat="1"/>
    <row r="52" s="5" customFormat="1"/>
    <row r="53" s="5" customFormat="1"/>
    <row r="54" s="5" customFormat="1"/>
    <row r="55" s="5" customFormat="1"/>
    <row r="56" s="5" customFormat="1"/>
    <row r="57" s="5" customFormat="1"/>
    <row r="58" s="5" customFormat="1"/>
    <row r="59" s="5" customFormat="1"/>
    <row r="60" s="5" customFormat="1"/>
    <row r="61" s="5" customFormat="1"/>
    <row r="62" s="5" customFormat="1"/>
    <row r="63" s="5" customFormat="1"/>
    <row r="64" s="5" customFormat="1"/>
    <row r="65" s="5" customFormat="1"/>
    <row r="66" s="5" customFormat="1"/>
    <row r="67" s="5" customFormat="1"/>
    <row r="68" s="5" customFormat="1"/>
    <row r="69" s="5" customFormat="1"/>
    <row r="70" s="5" customFormat="1"/>
    <row r="71" s="5" customFormat="1"/>
    <row r="72" s="5" customFormat="1"/>
    <row r="73" s="5" customFormat="1"/>
    <row r="74" s="5" customFormat="1"/>
    <row r="75" s="5" customFormat="1"/>
    <row r="76" s="5" customFormat="1"/>
    <row r="77" s="5" customFormat="1"/>
    <row r="78" s="5" customFormat="1"/>
    <row r="79" s="5" customFormat="1"/>
    <row r="80" s="5" customFormat="1"/>
    <row r="81" s="5" customFormat="1"/>
    <row r="82" s="5" customFormat="1"/>
    <row r="83" s="5" customFormat="1"/>
    <row r="84" s="5" customFormat="1"/>
    <row r="85" s="5" customFormat="1"/>
    <row r="86" s="5" customFormat="1"/>
    <row r="87" s="5" customFormat="1"/>
    <row r="88" s="5" customFormat="1"/>
    <row r="89" s="5" customFormat="1"/>
    <row r="90" s="5" customFormat="1"/>
    <row r="91" s="5" customFormat="1"/>
    <row r="92" s="5" customFormat="1"/>
    <row r="93" s="5" customFormat="1"/>
    <row r="94" s="5" customFormat="1"/>
    <row r="95" s="5" customFormat="1"/>
    <row r="96" s="5" customFormat="1"/>
    <row r="97" s="5" customFormat="1"/>
    <row r="98" s="5" customFormat="1"/>
    <row r="99" s="5" customFormat="1"/>
    <row r="100" s="5" customFormat="1"/>
    <row r="101" s="5" customFormat="1"/>
    <row r="102" s="5" customFormat="1"/>
    <row r="103" s="5" customFormat="1"/>
    <row r="104" s="5" customFormat="1"/>
    <row r="105" s="5" customFormat="1"/>
    <row r="106" s="5" customFormat="1"/>
    <row r="107" s="5" customFormat="1"/>
    <row r="108" s="5" customFormat="1"/>
    <row r="109" s="5" customFormat="1"/>
    <row r="110" s="5" customFormat="1"/>
    <row r="111" s="5" customFormat="1"/>
    <row r="112" s="5" customFormat="1"/>
    <row r="113" s="5" customFormat="1"/>
    <row r="114" s="5" customFormat="1"/>
    <row r="115" s="5" customFormat="1"/>
    <row r="116" s="5" customFormat="1"/>
    <row r="117" s="5" customFormat="1"/>
    <row r="118" s="5" customFormat="1"/>
    <row r="119" s="5" customFormat="1"/>
    <row r="120" s="5" customFormat="1"/>
    <row r="121" s="5" customFormat="1"/>
    <row r="122" s="5" customFormat="1"/>
    <row r="123" s="5" customFormat="1"/>
    <row r="124" s="5" customFormat="1"/>
    <row r="125" s="5" customFormat="1"/>
    <row r="126" s="5" customFormat="1"/>
    <row r="127" s="5" customFormat="1"/>
    <row r="128" s="5" customFormat="1"/>
    <row r="129" s="5" customFormat="1"/>
    <row r="130" s="5" customFormat="1"/>
    <row r="131" s="5" customFormat="1"/>
    <row r="132" s="5" customFormat="1"/>
    <row r="133" s="5" customFormat="1"/>
    <row r="134" s="5" customFormat="1"/>
    <row r="135" s="5" customFormat="1"/>
    <row r="136" s="5" customFormat="1"/>
    <row r="137" s="5" customFormat="1"/>
    <row r="138" s="5" customFormat="1"/>
    <row r="139" s="5" customFormat="1"/>
    <row r="140" s="5" customFormat="1"/>
    <row r="141" s="5" customFormat="1"/>
    <row r="142" s="5" customFormat="1"/>
    <row r="143" s="5" customFormat="1"/>
    <row r="144" s="5" customFormat="1"/>
    <row r="145" s="5" customFormat="1"/>
    <row r="146" s="5" customFormat="1"/>
    <row r="147" s="5" customFormat="1"/>
    <row r="148" s="5" customFormat="1"/>
    <row r="149" s="5" customFormat="1"/>
    <row r="150" s="5" customFormat="1"/>
    <row r="151" s="5" customFormat="1"/>
    <row r="152" s="5" customFormat="1"/>
    <row r="153" s="5" customFormat="1"/>
    <row r="154" s="5" customFormat="1"/>
    <row r="155" s="5" customFormat="1"/>
    <row r="156" s="5" customFormat="1"/>
    <row r="157" s="5" customFormat="1"/>
    <row r="158" s="5" customFormat="1"/>
    <row r="159" s="5" customFormat="1"/>
    <row r="160" s="5" customFormat="1"/>
    <row r="161" s="5" customFormat="1"/>
    <row r="162" s="5" customFormat="1"/>
    <row r="163" s="5" customFormat="1"/>
    <row r="164" s="5" customFormat="1"/>
    <row r="165" s="5" customFormat="1"/>
    <row r="166" s="5" customFormat="1"/>
    <row r="167" s="5" customFormat="1"/>
    <row r="168" s="5" customFormat="1"/>
    <row r="169" s="5" customFormat="1"/>
    <row r="170" s="5" customFormat="1"/>
    <row r="171" s="5" customFormat="1"/>
    <row r="172" s="5" customFormat="1"/>
    <row r="173" s="5" customFormat="1"/>
    <row r="174" s="5" customFormat="1"/>
    <row r="175" s="5" customFormat="1"/>
    <row r="176" s="5" customFormat="1"/>
    <row r="177" s="5" customFormat="1"/>
    <row r="178" s="5" customFormat="1"/>
    <row r="179" s="5" customFormat="1"/>
    <row r="180" s="5" customFormat="1"/>
    <row r="181" s="5" customFormat="1"/>
    <row r="182" s="5" customFormat="1"/>
    <row r="183" s="5" customFormat="1"/>
    <row r="184" s="5" customFormat="1"/>
    <row r="185" s="5" customFormat="1"/>
    <row r="186" s="5" customFormat="1"/>
    <row r="187" s="5" customFormat="1"/>
    <row r="188" s="5" customFormat="1"/>
    <row r="189" s="5" customFormat="1"/>
    <row r="190" s="5" customFormat="1"/>
    <row r="191" s="5" customFormat="1"/>
    <row r="192" s="5" customFormat="1"/>
    <row r="193" s="5" customFormat="1"/>
    <row r="194" s="5" customFormat="1"/>
    <row r="195" s="5" customFormat="1"/>
    <row r="196" s="5" customFormat="1"/>
    <row r="197" s="5" customFormat="1"/>
    <row r="198" s="5" customFormat="1"/>
    <row r="199" s="5" customFormat="1"/>
    <row r="200" s="5" customFormat="1"/>
    <row r="201" s="5" customFormat="1"/>
    <row r="202" s="5" customFormat="1"/>
    <row r="203" s="5" customFormat="1"/>
    <row r="204" s="5" customFormat="1"/>
    <row r="205" s="5" customFormat="1"/>
    <row r="206" s="5" customFormat="1"/>
    <row r="207" s="5" customFormat="1"/>
    <row r="208" s="5" customFormat="1"/>
    <row r="209" s="5" customFormat="1"/>
    <row r="210" s="5" customFormat="1"/>
    <row r="211" s="5" customFormat="1"/>
    <row r="212" s="5" customFormat="1"/>
    <row r="213" s="5" customFormat="1"/>
    <row r="214" s="5" customFormat="1"/>
    <row r="215" s="5" customFormat="1"/>
    <row r="216" s="5" customFormat="1"/>
    <row r="217" s="5" customFormat="1"/>
    <row r="218" s="5" customFormat="1"/>
    <row r="219" s="5" customFormat="1"/>
    <row r="220" s="5" customFormat="1"/>
    <row r="221" s="5" customFormat="1"/>
    <row r="222" s="5" customFormat="1"/>
    <row r="223" s="5" customFormat="1"/>
    <row r="224" s="5" customFormat="1"/>
    <row r="225" s="5" customFormat="1"/>
    <row r="226" s="5" customFormat="1"/>
    <row r="227" s="5" customFormat="1"/>
    <row r="228" s="5" customFormat="1"/>
    <row r="229" s="5" customFormat="1"/>
    <row r="230" s="5" customFormat="1"/>
    <row r="231" s="5" customFormat="1"/>
    <row r="232" s="5" customFormat="1"/>
    <row r="233" s="5" customFormat="1"/>
    <row r="234" s="5" customFormat="1"/>
    <row r="235" s="5" customFormat="1"/>
    <row r="236" s="5" customFormat="1"/>
    <row r="237" s="5" customFormat="1"/>
    <row r="238" s="5" customFormat="1"/>
    <row r="239" s="5" customFormat="1"/>
    <row r="240" s="5" customFormat="1"/>
    <row r="241" s="5" customFormat="1"/>
    <row r="242" s="5" customFormat="1"/>
    <row r="243" s="5" customFormat="1"/>
    <row r="244" s="5" customFormat="1"/>
    <row r="245" s="5" customFormat="1"/>
    <row r="246" s="5" customFormat="1"/>
    <row r="247" s="5" customFormat="1"/>
    <row r="248" s="5" customFormat="1"/>
    <row r="249" s="5" customFormat="1"/>
    <row r="250" s="5" customFormat="1"/>
    <row r="251" s="5" customFormat="1"/>
    <row r="252" s="5" customFormat="1"/>
    <row r="253" s="5" customFormat="1"/>
    <row r="254" s="5" customFormat="1"/>
    <row r="255" s="5" customFormat="1"/>
    <row r="256" s="5" customFormat="1"/>
    <row r="257" s="5" customFormat="1"/>
    <row r="258" s="5" customFormat="1"/>
    <row r="259" s="5" customFormat="1"/>
    <row r="260" s="5" customFormat="1"/>
    <row r="261" s="5" customFormat="1"/>
    <row r="262" s="5" customFormat="1"/>
    <row r="263" s="5" customFormat="1"/>
    <row r="264" s="5" customFormat="1"/>
    <row r="265" s="5" customFormat="1"/>
    <row r="266" s="5" customFormat="1"/>
    <row r="267" s="5" customFormat="1"/>
    <row r="268" s="5" customFormat="1"/>
    <row r="269" s="5" customFormat="1"/>
    <row r="270" s="5" customFormat="1"/>
    <row r="271" s="5" customFormat="1"/>
    <row r="272" s="5" customFormat="1"/>
    <row r="273" s="5" customFormat="1"/>
    <row r="274" s="5" customFormat="1"/>
    <row r="275" s="5" customFormat="1"/>
    <row r="276" s="5" customFormat="1"/>
    <row r="277" s="5" customFormat="1"/>
    <row r="278" s="5" customFormat="1"/>
    <row r="279" s="5" customFormat="1"/>
    <row r="280" s="5" customFormat="1"/>
    <row r="281" s="5" customFormat="1"/>
    <row r="282" s="5" customFormat="1"/>
    <row r="283" s="5" customFormat="1"/>
    <row r="284" s="5" customFormat="1"/>
    <row r="285" s="5" customFormat="1"/>
    <row r="286" s="5" customFormat="1"/>
    <row r="287" s="5" customFormat="1"/>
    <row r="288" s="5" customFormat="1"/>
    <row r="289" s="5" customFormat="1"/>
    <row r="290" s="5" customFormat="1"/>
    <row r="291" s="5" customFormat="1"/>
    <row r="292" s="5" customFormat="1"/>
    <row r="293" s="5" customFormat="1"/>
    <row r="294" s="5" customFormat="1"/>
    <row r="295" s="5" customFormat="1"/>
    <row r="296" s="5" customFormat="1"/>
    <row r="297" s="5" customFormat="1"/>
    <row r="298" s="5" customFormat="1"/>
    <row r="299" s="5" customFormat="1"/>
    <row r="300" s="5" customFormat="1"/>
    <row r="301" s="5" customFormat="1"/>
    <row r="302" s="5" customFormat="1"/>
    <row r="303" s="5" customFormat="1"/>
    <row r="304" s="5" customFormat="1"/>
    <row r="305" s="5" customFormat="1"/>
    <row r="306" s="5" customFormat="1"/>
    <row r="307" s="5" customFormat="1"/>
    <row r="308" s="5" customFormat="1"/>
    <row r="309" s="5" customFormat="1"/>
    <row r="310" s="5" customFormat="1"/>
    <row r="311" s="5" customFormat="1"/>
    <row r="312" s="5" customFormat="1"/>
    <row r="313" s="5" customFormat="1"/>
    <row r="314" s="5" customFormat="1"/>
    <row r="315" s="5" customFormat="1"/>
    <row r="316" s="5" customFormat="1"/>
    <row r="317" s="5" customFormat="1"/>
    <row r="318" s="5" customFormat="1"/>
    <row r="319" s="5" customFormat="1"/>
    <row r="320" s="5" customFormat="1"/>
    <row r="321" s="5" customFormat="1"/>
    <row r="322" s="5" customFormat="1"/>
    <row r="323" s="5" customFormat="1"/>
    <row r="324" s="5" customFormat="1"/>
    <row r="325" s="5" customFormat="1"/>
    <row r="326" s="5" customFormat="1"/>
    <row r="327" s="5" customFormat="1"/>
    <row r="328" s="5" customFormat="1"/>
    <row r="329" s="5" customFormat="1"/>
    <row r="330" s="5" customFormat="1"/>
    <row r="331" s="5" customFormat="1"/>
    <row r="332" s="5" customFormat="1"/>
    <row r="333" s="5" customFormat="1"/>
    <row r="334" s="5" customFormat="1"/>
    <row r="335" s="5" customFormat="1"/>
    <row r="336" s="5" customFormat="1"/>
    <row r="337" s="5" customFormat="1"/>
    <row r="338" s="5" customFormat="1"/>
    <row r="339" s="5" customFormat="1"/>
    <row r="340" s="5" customFormat="1"/>
    <row r="341" s="5" customFormat="1"/>
    <row r="342" s="5" customFormat="1"/>
    <row r="343" s="5" customFormat="1"/>
    <row r="344" s="5" customFormat="1"/>
    <row r="345" s="5" customFormat="1"/>
    <row r="346" s="5" customFormat="1"/>
    <row r="347" s="5" customFormat="1"/>
    <row r="348" s="5" customFormat="1"/>
    <row r="349" s="5" customFormat="1"/>
    <row r="350" s="5" customFormat="1"/>
  </sheetData>
  <sheetProtection selectLockedCells="1"/>
  <mergeCells count="7">
    <mergeCell ref="AK3:AN3"/>
    <mergeCell ref="A1:T1"/>
    <mergeCell ref="AF3:AI3"/>
    <mergeCell ref="W1:AA1"/>
    <mergeCell ref="AD1:AL1"/>
    <mergeCell ref="B2:F2"/>
    <mergeCell ref="J2:N2"/>
  </mergeCells>
  <phoneticPr fontId="0" type="noConversion"/>
  <printOptions horizontalCentered="1" verticalCentered="1"/>
  <pageMargins left="0.78740157480314965" right="0.78740157480314965" top="0.98425196850393704" bottom="0.98425196850393704" header="0" footer="0"/>
  <pageSetup scale="71" orientation="landscape" horizontalDpi="360" verticalDpi="360" r:id="rId1"/>
  <headerFooter alignWithMargins="0"/>
  <colBreaks count="4" manualBreakCount="4">
    <brk id="11" max="13" man="1"/>
    <brk id="22" max="13" man="1"/>
    <brk id="33" max="13" man="1"/>
    <brk id="43" max="20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9"/>
  <sheetViews>
    <sheetView workbookViewId="0">
      <selection activeCell="F4" sqref="F4:F15"/>
    </sheetView>
  </sheetViews>
  <sheetFormatPr baseColWidth="10" defaultRowHeight="12.75"/>
  <cols>
    <col min="1" max="1" width="19.28515625" customWidth="1"/>
    <col min="2" max="2" width="12.42578125" customWidth="1"/>
    <col min="3" max="3" width="10.42578125" customWidth="1"/>
    <col min="4" max="4" width="11.140625" customWidth="1"/>
    <col min="5" max="5" width="10.7109375" customWidth="1"/>
    <col min="6" max="6" width="10.28515625" customWidth="1"/>
    <col min="7" max="7" width="10.42578125" customWidth="1"/>
    <col min="8" max="8" width="10.28515625" customWidth="1"/>
    <col min="9" max="9" width="11.7109375" customWidth="1"/>
  </cols>
  <sheetData>
    <row r="1" spans="1:11">
      <c r="A1" s="19"/>
      <c r="B1" s="19"/>
      <c r="C1" s="19"/>
      <c r="D1" s="19"/>
      <c r="E1" s="19"/>
      <c r="F1" s="19"/>
    </row>
    <row r="2" spans="1:11">
      <c r="A2" s="19"/>
      <c r="B2" s="19"/>
      <c r="C2" s="19"/>
      <c r="D2" s="19"/>
      <c r="E2" s="19"/>
      <c r="F2" s="19"/>
    </row>
    <row r="3" spans="1:11">
      <c r="A3" s="43"/>
      <c r="B3" s="43"/>
      <c r="C3" s="43"/>
      <c r="D3" s="43"/>
      <c r="E3" s="43"/>
      <c r="F3" s="43"/>
      <c r="G3" s="44"/>
      <c r="H3" s="44"/>
      <c r="I3" s="44"/>
      <c r="J3" s="44"/>
    </row>
    <row r="4" spans="1:11" ht="31.5">
      <c r="A4" s="45" t="s">
        <v>7</v>
      </c>
      <c r="B4" s="46" t="s">
        <v>80</v>
      </c>
      <c r="C4" s="46" t="s">
        <v>64</v>
      </c>
      <c r="D4" s="46" t="s">
        <v>65</v>
      </c>
      <c r="E4" s="46" t="s">
        <v>66</v>
      </c>
      <c r="F4" s="46" t="s">
        <v>67</v>
      </c>
      <c r="G4" s="103" t="s">
        <v>0</v>
      </c>
      <c r="H4" s="127" t="s">
        <v>1</v>
      </c>
      <c r="I4" s="103"/>
      <c r="J4" s="103"/>
      <c r="K4" s="107"/>
    </row>
    <row r="5" spans="1:11">
      <c r="A5" s="155" t="s">
        <v>6</v>
      </c>
      <c r="B5" s="47">
        <v>2</v>
      </c>
      <c r="C5" s="47" t="e">
        <v>#DIV/0!</v>
      </c>
      <c r="D5" s="47" t="e">
        <v>#DIV/0!</v>
      </c>
      <c r="E5" s="47" t="e">
        <v>#DIV/0!</v>
      </c>
      <c r="F5" s="47" t="e">
        <v>#DIV/0!</v>
      </c>
      <c r="G5" s="41" t="e">
        <v>#DIV/0!</v>
      </c>
      <c r="H5" s="128" t="e">
        <v>#DIV/0!</v>
      </c>
      <c r="I5" s="41"/>
      <c r="J5" s="42"/>
      <c r="K5" s="108"/>
    </row>
    <row r="6" spans="1:11">
      <c r="A6" s="155" t="s">
        <v>30</v>
      </c>
      <c r="B6" s="47">
        <v>2</v>
      </c>
      <c r="C6" s="47" t="e">
        <v>#DIV/0!</v>
      </c>
      <c r="D6" s="47" t="e">
        <v>#DIV/0!</v>
      </c>
      <c r="E6" s="47" t="e">
        <v>#DIV/0!</v>
      </c>
      <c r="F6" s="47" t="e">
        <v>#DIV/0!</v>
      </c>
      <c r="G6" s="41" t="e">
        <v>#DIV/0!</v>
      </c>
      <c r="H6" s="128" t="e">
        <v>#DIV/0!</v>
      </c>
      <c r="I6" s="41"/>
      <c r="J6" s="42"/>
      <c r="K6" s="108"/>
    </row>
    <row r="7" spans="1:11">
      <c r="A7" s="155" t="s">
        <v>8</v>
      </c>
      <c r="B7" s="47">
        <v>2</v>
      </c>
      <c r="C7" s="47" t="e">
        <v>#DIV/0!</v>
      </c>
      <c r="D7" s="47" t="e">
        <v>#DIV/0!</v>
      </c>
      <c r="E7" s="47" t="e">
        <v>#DIV/0!</v>
      </c>
      <c r="F7" s="47" t="e">
        <v>#DIV/0!</v>
      </c>
      <c r="G7" s="41" t="e">
        <v>#DIV/0!</v>
      </c>
      <c r="H7" s="128" t="e">
        <v>#DIV/0!</v>
      </c>
      <c r="I7" s="41"/>
      <c r="J7" s="42"/>
      <c r="K7" s="108"/>
    </row>
    <row r="8" spans="1:11">
      <c r="A8" s="155" t="s">
        <v>9</v>
      </c>
      <c r="B8" s="47">
        <v>2</v>
      </c>
      <c r="C8" s="47" t="e">
        <v>#DIV/0!</v>
      </c>
      <c r="D8" s="47" t="e">
        <v>#DIV/0!</v>
      </c>
      <c r="E8" s="47" t="e">
        <v>#DIV/0!</v>
      </c>
      <c r="F8" s="47" t="e">
        <v>#DIV/0!</v>
      </c>
      <c r="G8" s="41" t="e">
        <v>#DIV/0!</v>
      </c>
      <c r="H8" s="128" t="e">
        <v>#DIV/0!</v>
      </c>
      <c r="I8" s="41"/>
      <c r="J8" s="42"/>
      <c r="K8" s="108"/>
    </row>
    <row r="9" spans="1:11">
      <c r="A9" s="155" t="s">
        <v>10</v>
      </c>
      <c r="B9" s="47">
        <v>2</v>
      </c>
      <c r="C9" s="47" t="e">
        <v>#DIV/0!</v>
      </c>
      <c r="D9" s="47" t="e">
        <v>#DIV/0!</v>
      </c>
      <c r="E9" s="47" t="e">
        <v>#DIV/0!</v>
      </c>
      <c r="F9" s="47" t="e">
        <v>#DIV/0!</v>
      </c>
      <c r="G9" s="41" t="e">
        <v>#DIV/0!</v>
      </c>
      <c r="H9" s="128" t="e">
        <v>#DIV/0!</v>
      </c>
      <c r="I9" s="41"/>
      <c r="J9" s="42"/>
      <c r="K9" s="108"/>
    </row>
    <row r="10" spans="1:11">
      <c r="A10" s="155" t="s">
        <v>11</v>
      </c>
      <c r="B10" s="47">
        <v>2</v>
      </c>
      <c r="C10" s="47" t="e">
        <v>#DIV/0!</v>
      </c>
      <c r="D10" s="47" t="e">
        <v>#DIV/0!</v>
      </c>
      <c r="E10" s="47" t="e">
        <v>#DIV/0!</v>
      </c>
      <c r="F10" s="47" t="e">
        <v>#DIV/0!</v>
      </c>
      <c r="G10" s="41" t="e">
        <v>#DIV/0!</v>
      </c>
      <c r="H10" s="128" t="e">
        <v>#DIV/0!</v>
      </c>
      <c r="I10" s="41"/>
      <c r="J10" s="42"/>
      <c r="K10" s="108"/>
    </row>
    <row r="11" spans="1:11">
      <c r="A11" s="155" t="s">
        <v>12</v>
      </c>
      <c r="B11" s="47">
        <v>2</v>
      </c>
      <c r="C11" s="47" t="e">
        <v>#DIV/0!</v>
      </c>
      <c r="D11" s="47" t="e">
        <v>#DIV/0!</v>
      </c>
      <c r="E11" s="47" t="e">
        <v>#DIV/0!</v>
      </c>
      <c r="F11" s="47" t="e">
        <v>#DIV/0!</v>
      </c>
      <c r="G11" s="41" t="e">
        <v>#DIV/0!</v>
      </c>
      <c r="H11" s="128" t="e">
        <v>#DIV/0!</v>
      </c>
      <c r="I11" s="41"/>
      <c r="J11" s="42"/>
      <c r="K11" s="108"/>
    </row>
    <row r="12" spans="1:11">
      <c r="A12" s="155" t="s">
        <v>13</v>
      </c>
      <c r="B12" s="47">
        <v>2</v>
      </c>
      <c r="C12" s="47" t="e">
        <v>#DIV/0!</v>
      </c>
      <c r="D12" s="47" t="e">
        <v>#DIV/0!</v>
      </c>
      <c r="E12" s="47" t="e">
        <v>#DIV/0!</v>
      </c>
      <c r="F12" s="47" t="e">
        <v>#DIV/0!</v>
      </c>
      <c r="G12" s="41" t="e">
        <v>#DIV/0!</v>
      </c>
      <c r="H12" s="128" t="e">
        <v>#DIV/0!</v>
      </c>
      <c r="I12" s="41"/>
      <c r="J12" s="42"/>
      <c r="K12" s="108"/>
    </row>
    <row r="13" spans="1:11">
      <c r="A13" s="155" t="s">
        <v>14</v>
      </c>
      <c r="B13" s="47">
        <v>2</v>
      </c>
      <c r="C13" s="47" t="e">
        <v>#DIV/0!</v>
      </c>
      <c r="D13" s="47" t="e">
        <v>#DIV/0!</v>
      </c>
      <c r="E13" s="47" t="e">
        <v>#DIV/0!</v>
      </c>
      <c r="F13" s="47" t="e">
        <v>#DIV/0!</v>
      </c>
      <c r="G13" s="41" t="e">
        <v>#DIV/0!</v>
      </c>
      <c r="H13" s="128" t="e">
        <v>#DIV/0!</v>
      </c>
      <c r="I13" s="41"/>
      <c r="J13" s="42"/>
      <c r="K13" s="108"/>
    </row>
    <row r="14" spans="1:11">
      <c r="A14" s="155" t="s">
        <v>15</v>
      </c>
      <c r="B14" s="47">
        <v>2</v>
      </c>
      <c r="C14" s="47" t="e">
        <v>#DIV/0!</v>
      </c>
      <c r="D14" s="47" t="e">
        <v>#DIV/0!</v>
      </c>
      <c r="E14" s="47" t="e">
        <v>#DIV/0!</v>
      </c>
      <c r="F14" s="47" t="e">
        <v>#DIV/0!</v>
      </c>
      <c r="G14" s="41" t="e">
        <v>#DIV/0!</v>
      </c>
      <c r="H14" s="128" t="e">
        <v>#DIV/0!</v>
      </c>
      <c r="I14" s="41"/>
      <c r="J14" s="42"/>
      <c r="K14" s="108"/>
    </row>
    <row r="15" spans="1:11">
      <c r="A15" s="156" t="s">
        <v>16</v>
      </c>
      <c r="B15" s="49">
        <v>2</v>
      </c>
      <c r="C15" s="49" t="e">
        <v>#DIV/0!</v>
      </c>
      <c r="D15" s="49" t="e">
        <v>#DIV/0!</v>
      </c>
      <c r="E15" s="49" t="e">
        <v>#DIV/0!</v>
      </c>
      <c r="F15" s="48" t="e">
        <v>#DIV/0!</v>
      </c>
      <c r="G15" s="42" t="e">
        <v>#DIV/0!</v>
      </c>
      <c r="H15" s="129" t="e">
        <v>#DIV/0!</v>
      </c>
      <c r="I15" s="42"/>
      <c r="J15" s="42"/>
      <c r="K15" s="108"/>
    </row>
    <row r="16" spans="1:11">
      <c r="A16" s="43"/>
      <c r="B16" s="43"/>
      <c r="C16" s="43"/>
      <c r="D16" s="47"/>
      <c r="E16" s="43"/>
      <c r="F16" s="43"/>
      <c r="G16" s="47"/>
      <c r="H16" s="47"/>
      <c r="I16" s="41"/>
      <c r="J16" s="41"/>
      <c r="K16" s="108"/>
    </row>
    <row r="17" spans="1:11">
      <c r="A17" s="43"/>
      <c r="B17" s="43"/>
      <c r="C17" s="43"/>
      <c r="D17" s="43"/>
      <c r="E17" s="43"/>
      <c r="F17" s="43"/>
      <c r="G17" s="44"/>
      <c r="H17" s="44"/>
      <c r="I17" s="44"/>
      <c r="J17" s="109"/>
      <c r="K17" s="108"/>
    </row>
    <row r="18" spans="1:11">
      <c r="A18" s="43"/>
      <c r="B18" s="43"/>
      <c r="C18" s="43"/>
      <c r="D18" s="43"/>
      <c r="E18" s="43"/>
      <c r="F18" s="43"/>
      <c r="G18" s="44"/>
      <c r="H18" s="44"/>
      <c r="I18" s="44"/>
      <c r="J18" s="44"/>
    </row>
    <row r="19" spans="1:11">
      <c r="A19" s="19"/>
      <c r="B19" s="19"/>
      <c r="C19" s="19"/>
      <c r="D19" s="19"/>
      <c r="E19" s="19"/>
      <c r="F19" s="19"/>
    </row>
  </sheetData>
  <sortState ref="A5:H14">
    <sortCondition descending="1" ref="H5"/>
  </sortState>
  <phoneticPr fontId="7" type="noConversion"/>
  <pageMargins left="0.75" right="0.75" top="1" bottom="1" header="0" footer="0"/>
  <pageSetup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3:V41"/>
  <sheetViews>
    <sheetView workbookViewId="0">
      <selection activeCell="K12" sqref="K12"/>
    </sheetView>
  </sheetViews>
  <sheetFormatPr baseColWidth="10" defaultRowHeight="12.75"/>
  <cols>
    <col min="1" max="1" width="18" customWidth="1"/>
    <col min="2" max="2" width="7.28515625" customWidth="1"/>
    <col min="3" max="3" width="12.7109375" customWidth="1"/>
    <col min="4" max="4" width="12.85546875" customWidth="1"/>
    <col min="5" max="5" width="11.85546875" customWidth="1"/>
    <col min="6" max="6" width="12.85546875" customWidth="1"/>
    <col min="7" max="7" width="11.85546875" customWidth="1"/>
    <col min="8" max="8" width="11" customWidth="1"/>
    <col min="9" max="9" width="8.140625" customWidth="1"/>
    <col min="10" max="10" width="8.5703125" customWidth="1"/>
    <col min="11" max="11" width="12.42578125" customWidth="1"/>
    <col min="12" max="13" width="10.85546875" customWidth="1"/>
    <col min="14" max="15" width="9" customWidth="1"/>
    <col min="16" max="16" width="6.7109375" customWidth="1"/>
    <col min="17" max="17" width="8.5703125" customWidth="1"/>
    <col min="18" max="18" width="8.7109375" customWidth="1"/>
    <col min="19" max="19" width="10.42578125" customWidth="1"/>
    <col min="20" max="20" width="10.7109375" customWidth="1"/>
  </cols>
  <sheetData>
    <row r="3" spans="1:22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</row>
    <row r="4" spans="1:22">
      <c r="A4" s="17"/>
      <c r="B4" s="17"/>
      <c r="C4" s="18"/>
      <c r="D4" s="18"/>
      <c r="E4" s="18"/>
      <c r="F4" s="18"/>
      <c r="G4" s="18"/>
      <c r="H4" s="18"/>
      <c r="I4" s="18"/>
      <c r="J4" s="18"/>
      <c r="K4" s="18"/>
      <c r="L4" s="1"/>
      <c r="M4" s="1"/>
      <c r="N4" s="1"/>
      <c r="O4" s="1"/>
      <c r="P4" s="1"/>
    </row>
    <row r="5" spans="1:22">
      <c r="A5" s="21"/>
      <c r="B5" s="21"/>
      <c r="C5" s="26"/>
      <c r="D5" s="26"/>
      <c r="E5" s="22" t="s">
        <v>5</v>
      </c>
      <c r="F5" s="22"/>
      <c r="G5" s="22"/>
      <c r="H5" s="22"/>
      <c r="I5" s="22"/>
      <c r="J5" s="22"/>
      <c r="K5" s="18"/>
      <c r="L5" s="1"/>
      <c r="M5" s="1"/>
      <c r="N5" s="1"/>
      <c r="O5" s="1"/>
      <c r="P5" s="1"/>
    </row>
    <row r="6" spans="1:22" ht="46.5" customHeight="1">
      <c r="A6" s="25" t="s">
        <v>7</v>
      </c>
      <c r="B6" s="23"/>
      <c r="C6" s="36" t="s">
        <v>78</v>
      </c>
      <c r="D6" s="33" t="s">
        <v>79</v>
      </c>
      <c r="E6" s="52" t="s">
        <v>2</v>
      </c>
      <c r="F6" s="30" t="s">
        <v>64</v>
      </c>
      <c r="G6" s="30" t="s">
        <v>65</v>
      </c>
      <c r="H6" s="30" t="s">
        <v>66</v>
      </c>
      <c r="I6" s="30" t="s">
        <v>67</v>
      </c>
      <c r="J6" s="30" t="s">
        <v>3</v>
      </c>
      <c r="K6" s="30" t="s">
        <v>64</v>
      </c>
      <c r="L6" s="50" t="s">
        <v>65</v>
      </c>
      <c r="M6" s="50" t="s">
        <v>66</v>
      </c>
      <c r="N6" s="50" t="s">
        <v>67</v>
      </c>
      <c r="O6" s="31"/>
      <c r="P6" s="31"/>
      <c r="Q6" s="29"/>
      <c r="R6" s="29"/>
      <c r="S6" s="29"/>
      <c r="T6" s="29"/>
      <c r="U6" s="29"/>
      <c r="V6" s="29"/>
    </row>
    <row r="7" spans="1:22">
      <c r="A7" s="21" t="s">
        <v>6</v>
      </c>
      <c r="B7" s="21" t="s">
        <v>17</v>
      </c>
      <c r="C7" s="37" t="e">
        <v>#DIV/0!</v>
      </c>
      <c r="D7" s="34" t="e">
        <v>#DIV/0!</v>
      </c>
      <c r="E7" s="53" t="e">
        <v>#DIV/0!</v>
      </c>
      <c r="F7" s="22" t="e">
        <v>#DIV/0!</v>
      </c>
      <c r="G7" s="22" t="e">
        <v>#DIV/0!</v>
      </c>
      <c r="H7" s="22" t="e">
        <v>#DIV/0!</v>
      </c>
      <c r="I7" s="22" t="e">
        <v>#DIV/0!</v>
      </c>
      <c r="J7" s="22" t="e">
        <v>#DIV/0!</v>
      </c>
      <c r="K7" s="22" t="e">
        <v>#DIV/0!</v>
      </c>
      <c r="L7" s="51" t="e">
        <v>#DIV/0!</v>
      </c>
      <c r="M7" s="51" t="e">
        <v>#DIV/0!</v>
      </c>
      <c r="N7" s="51" t="e">
        <v>#DIV/0!</v>
      </c>
      <c r="O7" s="20"/>
      <c r="P7" s="20"/>
      <c r="Q7" s="20"/>
      <c r="R7" s="20"/>
      <c r="S7" s="20"/>
      <c r="T7" s="20"/>
      <c r="U7" s="19"/>
      <c r="V7" s="19"/>
    </row>
    <row r="8" spans="1:22">
      <c r="A8" s="21" t="s">
        <v>30</v>
      </c>
      <c r="B8" s="21" t="s">
        <v>18</v>
      </c>
      <c r="C8" s="37" t="e">
        <v>#DIV/0!</v>
      </c>
      <c r="D8" s="34" t="e">
        <v>#DIV/0!</v>
      </c>
      <c r="E8" s="53" t="e">
        <v>#DIV/0!</v>
      </c>
      <c r="F8" s="22" t="e">
        <v>#DIV/0!</v>
      </c>
      <c r="G8" s="22" t="e">
        <v>#DIV/0!</v>
      </c>
      <c r="H8" s="22" t="e">
        <v>#DIV/0!</v>
      </c>
      <c r="I8" s="22" t="e">
        <v>#DIV/0!</v>
      </c>
      <c r="J8" s="22" t="e">
        <v>#DIV/0!</v>
      </c>
      <c r="K8" s="22" t="e">
        <v>#DIV/0!</v>
      </c>
      <c r="L8" s="51" t="e">
        <v>#DIV/0!</v>
      </c>
      <c r="M8" s="51" t="e">
        <v>#DIV/0!</v>
      </c>
      <c r="N8" s="51" t="e">
        <v>#DIV/0!</v>
      </c>
      <c r="O8" s="20"/>
      <c r="P8" s="20"/>
      <c r="Q8" s="20"/>
      <c r="R8" s="20"/>
      <c r="S8" s="20"/>
      <c r="T8" s="20"/>
      <c r="U8" s="19"/>
      <c r="V8" s="19"/>
    </row>
    <row r="9" spans="1:22">
      <c r="A9" s="21" t="s">
        <v>8</v>
      </c>
      <c r="B9" s="21" t="s">
        <v>19</v>
      </c>
      <c r="C9" s="37" t="e">
        <v>#DIV/0!</v>
      </c>
      <c r="D9" s="34" t="e">
        <v>#DIV/0!</v>
      </c>
      <c r="E9" s="53" t="e">
        <v>#DIV/0!</v>
      </c>
      <c r="F9" s="22" t="e">
        <v>#DIV/0!</v>
      </c>
      <c r="G9" s="22" t="e">
        <v>#DIV/0!</v>
      </c>
      <c r="H9" s="22" t="e">
        <v>#DIV/0!</v>
      </c>
      <c r="I9" s="22" t="e">
        <v>#DIV/0!</v>
      </c>
      <c r="J9" s="22" t="e">
        <v>#DIV/0!</v>
      </c>
      <c r="K9" s="22" t="e">
        <v>#DIV/0!</v>
      </c>
      <c r="L9" s="51" t="e">
        <v>#DIV/0!</v>
      </c>
      <c r="M9" s="51" t="e">
        <v>#DIV/0!</v>
      </c>
      <c r="N9" s="51" t="e">
        <v>#DIV/0!</v>
      </c>
      <c r="O9" s="20"/>
      <c r="P9" s="20"/>
      <c r="Q9" s="20"/>
      <c r="R9" s="20"/>
      <c r="S9" s="20"/>
      <c r="T9" s="20"/>
      <c r="U9" s="19"/>
      <c r="V9" s="19"/>
    </row>
    <row r="10" spans="1:22">
      <c r="A10" s="21" t="s">
        <v>9</v>
      </c>
      <c r="B10" s="21" t="s">
        <v>20</v>
      </c>
      <c r="C10" s="37" t="e">
        <v>#DIV/0!</v>
      </c>
      <c r="D10" s="34" t="e">
        <v>#DIV/0!</v>
      </c>
      <c r="E10" s="53" t="e">
        <v>#DIV/0!</v>
      </c>
      <c r="F10" s="22" t="e">
        <v>#DIV/0!</v>
      </c>
      <c r="G10" s="22" t="e">
        <v>#DIV/0!</v>
      </c>
      <c r="H10" s="22" t="e">
        <v>#DIV/0!</v>
      </c>
      <c r="I10" s="22" t="e">
        <v>#DIV/0!</v>
      </c>
      <c r="J10" s="22" t="e">
        <v>#DIV/0!</v>
      </c>
      <c r="K10" s="22" t="e">
        <v>#DIV/0!</v>
      </c>
      <c r="L10" s="51" t="e">
        <v>#DIV/0!</v>
      </c>
      <c r="M10" s="51" t="e">
        <v>#DIV/0!</v>
      </c>
      <c r="N10" s="51" t="e">
        <v>#DIV/0!</v>
      </c>
      <c r="O10" s="20"/>
      <c r="P10" s="20"/>
      <c r="Q10" s="20"/>
      <c r="R10" s="20"/>
      <c r="S10" s="20"/>
      <c r="T10" s="20"/>
      <c r="U10" s="19"/>
      <c r="V10" s="19"/>
    </row>
    <row r="11" spans="1:22">
      <c r="A11" s="21" t="s">
        <v>10</v>
      </c>
      <c r="B11" s="21" t="s">
        <v>21</v>
      </c>
      <c r="C11" s="37" t="e">
        <v>#DIV/0!</v>
      </c>
      <c r="D11" s="34" t="e">
        <v>#DIV/0!</v>
      </c>
      <c r="E11" s="53" t="e">
        <v>#DIV/0!</v>
      </c>
      <c r="F11" s="22" t="e">
        <v>#DIV/0!</v>
      </c>
      <c r="G11" s="22" t="e">
        <v>#DIV/0!</v>
      </c>
      <c r="H11" s="22" t="e">
        <v>#DIV/0!</v>
      </c>
      <c r="I11" s="22" t="e">
        <v>#DIV/0!</v>
      </c>
      <c r="J11" s="22" t="e">
        <v>#DIV/0!</v>
      </c>
      <c r="K11" s="22" t="e">
        <v>#DIV/0!</v>
      </c>
      <c r="L11" s="51" t="e">
        <v>#DIV/0!</v>
      </c>
      <c r="M11" s="51" t="e">
        <v>#DIV/0!</v>
      </c>
      <c r="N11" s="51" t="e">
        <v>#DIV/0!</v>
      </c>
      <c r="O11" s="20"/>
      <c r="P11" s="20"/>
      <c r="Q11" s="20"/>
      <c r="R11" s="20"/>
      <c r="S11" s="20"/>
      <c r="T11" s="20"/>
      <c r="U11" s="19"/>
      <c r="V11" s="19"/>
    </row>
    <row r="12" spans="1:22">
      <c r="A12" s="21" t="s">
        <v>11</v>
      </c>
      <c r="B12" s="21" t="s">
        <v>22</v>
      </c>
      <c r="C12" s="37" t="e">
        <v>#DIV/0!</v>
      </c>
      <c r="D12" s="34" t="e">
        <v>#DIV/0!</v>
      </c>
      <c r="E12" s="53" t="e">
        <v>#DIV/0!</v>
      </c>
      <c r="F12" s="22" t="e">
        <v>#DIV/0!</v>
      </c>
      <c r="G12" s="22" t="e">
        <v>#DIV/0!</v>
      </c>
      <c r="H12" s="22" t="e">
        <v>#DIV/0!</v>
      </c>
      <c r="I12" s="22" t="e">
        <v>#DIV/0!</v>
      </c>
      <c r="J12" s="22" t="e">
        <v>#DIV/0!</v>
      </c>
      <c r="K12" s="22" t="e">
        <v>#DIV/0!</v>
      </c>
      <c r="L12" s="51" t="e">
        <v>#DIV/0!</v>
      </c>
      <c r="M12" s="51" t="e">
        <v>#DIV/0!</v>
      </c>
      <c r="N12" s="51" t="e">
        <v>#DIV/0!</v>
      </c>
      <c r="O12" s="20"/>
      <c r="P12" s="20"/>
      <c r="Q12" s="20"/>
      <c r="R12" s="20"/>
      <c r="S12" s="20"/>
      <c r="T12" s="20"/>
      <c r="U12" s="19"/>
      <c r="V12" s="19"/>
    </row>
    <row r="13" spans="1:22">
      <c r="A13" s="21" t="s">
        <v>12</v>
      </c>
      <c r="B13" s="21" t="s">
        <v>23</v>
      </c>
      <c r="C13" s="37" t="e">
        <v>#DIV/0!</v>
      </c>
      <c r="D13" s="34" t="e">
        <v>#DIV/0!</v>
      </c>
      <c r="E13" s="53" t="e">
        <v>#DIV/0!</v>
      </c>
      <c r="F13" s="22" t="e">
        <v>#DIV/0!</v>
      </c>
      <c r="G13" s="22" t="e">
        <v>#DIV/0!</v>
      </c>
      <c r="H13" s="22" t="e">
        <v>#DIV/0!</v>
      </c>
      <c r="I13" s="22" t="e">
        <v>#DIV/0!</v>
      </c>
      <c r="J13" s="22" t="e">
        <v>#DIV/0!</v>
      </c>
      <c r="K13" s="22" t="e">
        <v>#DIV/0!</v>
      </c>
      <c r="L13" s="51" t="e">
        <v>#DIV/0!</v>
      </c>
      <c r="M13" s="51" t="e">
        <v>#DIV/0!</v>
      </c>
      <c r="N13" s="51" t="e">
        <v>#DIV/0!</v>
      </c>
      <c r="O13" s="20"/>
      <c r="P13" s="20"/>
      <c r="Q13" s="20"/>
      <c r="R13" s="20"/>
      <c r="S13" s="20"/>
      <c r="T13" s="20"/>
      <c r="U13" s="19"/>
      <c r="V13" s="19"/>
    </row>
    <row r="14" spans="1:22">
      <c r="A14" s="21" t="s">
        <v>13</v>
      </c>
      <c r="B14" s="21" t="s">
        <v>24</v>
      </c>
      <c r="C14" s="37" t="e">
        <v>#DIV/0!</v>
      </c>
      <c r="D14" s="34" t="e">
        <v>#DIV/0!</v>
      </c>
      <c r="E14" s="53" t="e">
        <v>#DIV/0!</v>
      </c>
      <c r="F14" s="22" t="e">
        <v>#DIV/0!</v>
      </c>
      <c r="G14" s="22" t="e">
        <v>#DIV/0!</v>
      </c>
      <c r="H14" s="22" t="e">
        <v>#DIV/0!</v>
      </c>
      <c r="I14" s="22" t="e">
        <v>#DIV/0!</v>
      </c>
      <c r="J14" s="22" t="e">
        <v>#DIV/0!</v>
      </c>
      <c r="K14" s="22" t="e">
        <v>#DIV/0!</v>
      </c>
      <c r="L14" s="51" t="e">
        <v>#DIV/0!</v>
      </c>
      <c r="M14" s="51" t="e">
        <v>#DIV/0!</v>
      </c>
      <c r="N14" s="51" t="e">
        <v>#DIV/0!</v>
      </c>
      <c r="O14" s="20"/>
      <c r="P14" s="20"/>
      <c r="Q14" s="20"/>
      <c r="R14" s="20"/>
      <c r="S14" s="20"/>
      <c r="T14" s="20"/>
      <c r="U14" s="19"/>
      <c r="V14" s="19"/>
    </row>
    <row r="15" spans="1:22">
      <c r="A15" s="21" t="s">
        <v>14</v>
      </c>
      <c r="B15" s="21" t="s">
        <v>25</v>
      </c>
      <c r="C15" s="37" t="e">
        <v>#DIV/0!</v>
      </c>
      <c r="D15" s="34" t="e">
        <v>#DIV/0!</v>
      </c>
      <c r="E15" s="53" t="e">
        <v>#DIV/0!</v>
      </c>
      <c r="F15" s="22" t="e">
        <v>#DIV/0!</v>
      </c>
      <c r="G15" s="22" t="e">
        <v>#DIV/0!</v>
      </c>
      <c r="H15" s="22" t="e">
        <v>#DIV/0!</v>
      </c>
      <c r="I15" s="22" t="e">
        <v>#DIV/0!</v>
      </c>
      <c r="J15" s="22" t="e">
        <v>#DIV/0!</v>
      </c>
      <c r="K15" s="22" t="e">
        <v>#DIV/0!</v>
      </c>
      <c r="L15" s="51" t="e">
        <v>#DIV/0!</v>
      </c>
      <c r="M15" s="51" t="e">
        <v>#DIV/0!</v>
      </c>
      <c r="N15" s="51" t="e">
        <v>#DIV/0!</v>
      </c>
      <c r="O15" s="20"/>
      <c r="P15" s="20"/>
      <c r="Q15" s="20"/>
      <c r="R15" s="20"/>
      <c r="S15" s="20"/>
      <c r="T15" s="20"/>
      <c r="U15" s="19"/>
      <c r="V15" s="19"/>
    </row>
    <row r="16" spans="1:22">
      <c r="A16" s="21" t="s">
        <v>15</v>
      </c>
      <c r="B16" s="21" t="s">
        <v>26</v>
      </c>
      <c r="C16" s="37" t="e">
        <v>#DIV/0!</v>
      </c>
      <c r="D16" s="34" t="e">
        <v>#DIV/0!</v>
      </c>
      <c r="E16" s="53" t="e">
        <v>#DIV/0!</v>
      </c>
      <c r="F16" s="22" t="e">
        <v>#DIV/0!</v>
      </c>
      <c r="G16" s="22" t="e">
        <v>#DIV/0!</v>
      </c>
      <c r="H16" s="22" t="e">
        <v>#DIV/0!</v>
      </c>
      <c r="I16" s="22" t="e">
        <v>#DIV/0!</v>
      </c>
      <c r="J16" s="22" t="e">
        <v>#DIV/0!</v>
      </c>
      <c r="K16" s="22" t="e">
        <v>#DIV/0!</v>
      </c>
      <c r="L16" s="51" t="e">
        <v>#DIV/0!</v>
      </c>
      <c r="M16" s="51" t="e">
        <v>#DIV/0!</v>
      </c>
      <c r="N16" s="51" t="e">
        <v>#DIV/0!</v>
      </c>
      <c r="O16" s="20"/>
      <c r="P16" s="20"/>
      <c r="Q16" s="20"/>
      <c r="R16" s="20"/>
      <c r="S16" s="20"/>
      <c r="T16" s="20"/>
      <c r="U16" s="19"/>
      <c r="V16" s="19"/>
    </row>
    <row r="17" spans="1:22">
      <c r="A17" s="23" t="s">
        <v>16</v>
      </c>
      <c r="B17" s="23" t="s">
        <v>27</v>
      </c>
      <c r="C17" s="38" t="e">
        <v>#DIV/0!</v>
      </c>
      <c r="D17" s="35" t="e">
        <v>#DIV/0!</v>
      </c>
      <c r="E17" s="54" t="e">
        <v>#DIV/0!</v>
      </c>
      <c r="F17" s="24" t="e">
        <v>#DIV/0!</v>
      </c>
      <c r="G17" s="24" t="e">
        <v>#DIV/0!</v>
      </c>
      <c r="H17" s="24" t="e">
        <v>#DIV/0!</v>
      </c>
      <c r="I17" s="24" t="e">
        <v>#DIV/0!</v>
      </c>
      <c r="J17" s="24" t="e">
        <v>#DIV/0!</v>
      </c>
      <c r="K17" s="24" t="e">
        <v>#DIV/0!</v>
      </c>
      <c r="L17" s="213" t="e">
        <v>#DIV/0!</v>
      </c>
      <c r="M17" s="213" t="e">
        <v>#DIV/0!</v>
      </c>
      <c r="N17" s="213" t="e">
        <v>#DIV/0!</v>
      </c>
      <c r="O17" s="20"/>
      <c r="P17" s="20"/>
      <c r="Q17" s="20"/>
      <c r="R17" s="20"/>
      <c r="S17" s="20"/>
      <c r="T17" s="20"/>
      <c r="U17" s="19"/>
      <c r="V17" s="19"/>
    </row>
    <row r="18" spans="1:22">
      <c r="A18" s="17"/>
      <c r="B18" s="17"/>
      <c r="C18" s="18"/>
      <c r="D18" s="18"/>
      <c r="E18" s="18"/>
      <c r="F18" s="18"/>
      <c r="G18" s="18"/>
      <c r="H18" s="18"/>
      <c r="I18" s="18"/>
      <c r="J18" s="18"/>
      <c r="K18" s="22"/>
      <c r="L18" s="20"/>
      <c r="M18" s="20"/>
      <c r="N18" s="20"/>
      <c r="O18" s="20"/>
      <c r="P18" s="20"/>
    </row>
    <row r="19" spans="1:22">
      <c r="A19" s="17"/>
      <c r="B19" s="17"/>
      <c r="C19" s="18"/>
      <c r="D19" s="18"/>
      <c r="E19" s="18"/>
      <c r="F19" s="18"/>
      <c r="G19" s="18"/>
      <c r="H19" s="18"/>
      <c r="I19" s="18"/>
      <c r="J19" s="18"/>
      <c r="K19" s="18"/>
      <c r="L19" s="1"/>
      <c r="M19" s="1"/>
      <c r="N19" s="1"/>
      <c r="O19" s="1"/>
      <c r="P19" s="1"/>
    </row>
    <row r="20" spans="1:22">
      <c r="A20" s="17"/>
      <c r="B20" s="17"/>
      <c r="C20" s="18"/>
      <c r="D20" s="18"/>
      <c r="E20" s="18"/>
      <c r="F20" s="18"/>
      <c r="G20" s="18"/>
      <c r="H20" s="18"/>
      <c r="I20" s="18"/>
      <c r="J20" s="18"/>
      <c r="K20" s="18"/>
      <c r="L20" s="1"/>
      <c r="M20" s="1"/>
      <c r="N20" s="1"/>
      <c r="O20" s="1"/>
      <c r="P20" s="1"/>
    </row>
    <row r="21" spans="1:22">
      <c r="A21" s="17"/>
      <c r="B21" s="17"/>
      <c r="C21" s="18"/>
      <c r="D21" s="18"/>
      <c r="E21" s="18"/>
      <c r="F21" s="18"/>
      <c r="G21" s="18"/>
      <c r="H21" s="18"/>
      <c r="I21" s="18"/>
      <c r="J21" s="18"/>
      <c r="K21" s="18"/>
      <c r="L21" s="1"/>
      <c r="M21" s="1"/>
      <c r="N21" s="1"/>
      <c r="O21" s="1"/>
      <c r="P21" s="1"/>
    </row>
    <row r="22" spans="1:22">
      <c r="A22" s="17"/>
      <c r="B22" s="17"/>
      <c r="C22" s="18"/>
      <c r="D22" s="18"/>
      <c r="E22" s="18"/>
      <c r="F22" s="18"/>
      <c r="G22" s="18"/>
      <c r="H22" s="18"/>
      <c r="I22" s="18"/>
      <c r="J22" s="18"/>
      <c r="K22" s="18"/>
      <c r="L22" s="1"/>
      <c r="M22" s="1"/>
      <c r="N22" s="1"/>
      <c r="O22" s="1"/>
      <c r="P22" s="1"/>
    </row>
    <row r="23" spans="1:22">
      <c r="A23" s="17"/>
      <c r="B23" s="17"/>
      <c r="C23" s="18"/>
      <c r="D23" s="18"/>
      <c r="E23" s="18"/>
      <c r="F23" s="18"/>
      <c r="G23" s="18"/>
      <c r="H23" s="18"/>
      <c r="I23" s="18"/>
      <c r="J23" s="18"/>
      <c r="K23" s="18"/>
      <c r="L23" s="1"/>
      <c r="M23" s="1"/>
      <c r="N23" s="1"/>
      <c r="O23" s="1"/>
      <c r="P23" s="1"/>
    </row>
    <row r="24" spans="1:22">
      <c r="A24" s="17"/>
      <c r="B24" s="17"/>
      <c r="C24" s="18"/>
      <c r="D24" s="18"/>
      <c r="E24" s="18"/>
      <c r="F24" s="18"/>
      <c r="G24" s="18"/>
      <c r="H24" s="18"/>
      <c r="I24" s="18"/>
      <c r="J24" s="18"/>
      <c r="K24" s="18"/>
      <c r="L24" s="1"/>
      <c r="M24" s="1"/>
      <c r="N24" s="1"/>
      <c r="O24" s="1"/>
      <c r="P24" s="1"/>
    </row>
    <row r="25" spans="1:22">
      <c r="A25" s="17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"/>
      <c r="M25" s="1"/>
      <c r="N25" s="1"/>
      <c r="O25" s="1"/>
      <c r="P25" s="1"/>
    </row>
    <row r="26" spans="1:22">
      <c r="A26" s="17"/>
      <c r="B26" s="17"/>
      <c r="C26" s="18"/>
      <c r="D26" s="18"/>
      <c r="E26" s="18"/>
      <c r="F26" s="18"/>
      <c r="G26" s="18"/>
      <c r="H26" s="18"/>
      <c r="I26" s="18"/>
      <c r="J26" s="18"/>
      <c r="K26" s="18"/>
      <c r="L26" s="1"/>
      <c r="M26" s="1"/>
      <c r="N26" s="1"/>
      <c r="O26" s="1"/>
      <c r="P26" s="1"/>
    </row>
    <row r="27" spans="1:22">
      <c r="A27" s="17"/>
      <c r="B27" s="17"/>
      <c r="C27" s="18"/>
      <c r="D27" s="18"/>
      <c r="E27" s="18"/>
      <c r="F27" s="18"/>
      <c r="G27" s="18"/>
      <c r="H27" s="18"/>
      <c r="I27" s="18"/>
      <c r="J27" s="18"/>
      <c r="K27" s="18"/>
      <c r="L27" s="1"/>
      <c r="M27" s="1"/>
      <c r="N27" s="1"/>
      <c r="O27" s="1"/>
      <c r="P27" s="1"/>
    </row>
    <row r="28" spans="1:22">
      <c r="A28" s="17"/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"/>
      <c r="M28" s="1"/>
      <c r="N28" s="1"/>
      <c r="O28" s="1"/>
      <c r="P28" s="1"/>
    </row>
    <row r="29" spans="1:22">
      <c r="A29" s="17"/>
      <c r="B29" s="17"/>
      <c r="C29" s="18"/>
      <c r="D29" s="18"/>
      <c r="E29" s="18"/>
      <c r="F29" s="18"/>
      <c r="G29" s="18"/>
      <c r="H29" s="18"/>
      <c r="I29" s="18"/>
      <c r="J29" s="18"/>
      <c r="K29" s="18"/>
      <c r="L29" s="1"/>
      <c r="M29" s="1"/>
      <c r="N29" s="1"/>
      <c r="O29" s="1"/>
      <c r="P29" s="1"/>
    </row>
    <row r="30" spans="1:22">
      <c r="A30" s="17"/>
      <c r="B30" s="17"/>
      <c r="C30" s="18"/>
      <c r="D30" s="18"/>
      <c r="E30" s="18"/>
      <c r="F30" s="18"/>
      <c r="G30" s="18"/>
      <c r="H30" s="18"/>
      <c r="I30" s="18"/>
      <c r="J30" s="18"/>
      <c r="K30" s="18"/>
      <c r="L30" s="1"/>
      <c r="M30" s="1"/>
      <c r="N30" s="1"/>
      <c r="O30" s="1"/>
      <c r="P30" s="1"/>
    </row>
    <row r="31" spans="1:22">
      <c r="A31" s="17"/>
      <c r="B31" s="17"/>
      <c r="C31" s="18"/>
      <c r="D31" s="18"/>
      <c r="E31" s="18"/>
      <c r="F31" s="18"/>
      <c r="G31" s="18"/>
      <c r="H31" s="18"/>
      <c r="I31" s="18"/>
      <c r="J31" s="18"/>
      <c r="K31" s="18"/>
      <c r="L31" s="1"/>
      <c r="M31" s="1"/>
      <c r="N31" s="1"/>
      <c r="O31" s="1"/>
      <c r="P31" s="1"/>
    </row>
    <row r="32" spans="1:22">
      <c r="A32" s="17"/>
      <c r="B32" s="17"/>
      <c r="C32" s="18"/>
      <c r="D32" s="18"/>
      <c r="E32" s="18"/>
      <c r="F32" s="18"/>
      <c r="G32" s="18"/>
      <c r="H32" s="18"/>
      <c r="I32" s="18"/>
      <c r="J32" s="18"/>
      <c r="K32" s="18"/>
      <c r="L32" s="1"/>
      <c r="M32" s="1"/>
      <c r="N32" s="1"/>
      <c r="O32" s="1"/>
      <c r="P32" s="1"/>
    </row>
    <row r="33" spans="1:16">
      <c r="A33" s="17"/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"/>
      <c r="M33" s="1"/>
      <c r="N33" s="1"/>
      <c r="O33" s="1"/>
      <c r="P33" s="1"/>
    </row>
    <row r="34" spans="1:16">
      <c r="A34" s="17"/>
      <c r="B34" s="17"/>
      <c r="C34" s="18"/>
      <c r="D34" s="18"/>
      <c r="E34" s="18"/>
      <c r="F34" s="18"/>
      <c r="G34" s="18"/>
      <c r="H34" s="18"/>
      <c r="I34" s="18"/>
      <c r="J34" s="18"/>
      <c r="K34" s="18"/>
      <c r="L34" s="1"/>
      <c r="M34" s="1"/>
      <c r="N34" s="1"/>
      <c r="O34" s="1"/>
      <c r="P34" s="1"/>
    </row>
    <row r="35" spans="1:16">
      <c r="A35" s="17"/>
      <c r="B35" s="17"/>
      <c r="C35" s="18"/>
      <c r="D35" s="18"/>
      <c r="E35" s="18"/>
      <c r="F35" s="18"/>
      <c r="G35" s="18"/>
      <c r="H35" s="18"/>
      <c r="I35" s="18"/>
      <c r="J35" s="18"/>
      <c r="K35" s="18"/>
      <c r="L35" s="1"/>
      <c r="M35" s="1"/>
      <c r="N35" s="1"/>
      <c r="O35" s="1"/>
      <c r="P35" s="1"/>
    </row>
    <row r="36" spans="1:16">
      <c r="A36" s="17"/>
      <c r="B36" s="17"/>
      <c r="C36" s="18"/>
      <c r="D36" s="18"/>
      <c r="E36" s="18"/>
      <c r="F36" s="18"/>
      <c r="G36" s="18"/>
      <c r="H36" s="18"/>
      <c r="I36" s="18"/>
      <c r="J36" s="18"/>
      <c r="K36" s="18"/>
      <c r="L36" s="1"/>
      <c r="M36" s="1"/>
      <c r="N36" s="1"/>
      <c r="O36" s="1"/>
      <c r="P36" s="1"/>
    </row>
    <row r="37" spans="1:16">
      <c r="A37" s="17"/>
      <c r="B37" s="17"/>
      <c r="C37" s="18"/>
      <c r="D37" s="18"/>
      <c r="E37" s="18"/>
      <c r="F37" s="18"/>
      <c r="G37" s="18"/>
      <c r="H37" s="18"/>
      <c r="I37" s="18"/>
      <c r="J37" s="18"/>
      <c r="K37" s="17"/>
    </row>
    <row r="38" spans="1:16">
      <c r="A38" s="17"/>
      <c r="B38" s="17"/>
      <c r="C38" s="18"/>
      <c r="D38" s="18"/>
      <c r="E38" s="18"/>
      <c r="F38" s="18"/>
      <c r="G38" s="18"/>
      <c r="H38" s="18"/>
      <c r="I38" s="18"/>
      <c r="J38" s="18"/>
      <c r="K38" s="17"/>
    </row>
    <row r="39" spans="1:16">
      <c r="A39" s="17"/>
      <c r="B39" s="17"/>
      <c r="C39" s="18"/>
      <c r="D39" s="18"/>
      <c r="E39" s="18"/>
      <c r="F39" s="18"/>
      <c r="G39" s="18"/>
      <c r="H39" s="18"/>
      <c r="I39" s="18"/>
      <c r="J39" s="18"/>
      <c r="K39" s="17"/>
    </row>
    <row r="40" spans="1:16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</row>
    <row r="41" spans="1:16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</row>
  </sheetData>
  <sortState ref="A7:T16">
    <sortCondition descending="1" ref="D7"/>
  </sortState>
  <phoneticPr fontId="0" type="noConversion"/>
  <pageMargins left="0.75" right="0.75" top="1" bottom="1" header="0" footer="0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3:I16"/>
  <sheetViews>
    <sheetView workbookViewId="0"/>
  </sheetViews>
  <sheetFormatPr baseColWidth="10" defaultRowHeight="12.75"/>
  <sheetData>
    <row r="3" spans="1:9" ht="13.5" thickBot="1"/>
    <row r="4" spans="1:9" ht="35.25" thickTop="1" thickBot="1">
      <c r="A4" s="79" t="s">
        <v>7</v>
      </c>
      <c r="B4" s="80" t="s">
        <v>64</v>
      </c>
      <c r="C4" s="81" t="s">
        <v>7</v>
      </c>
      <c r="D4" s="80" t="s">
        <v>65</v>
      </c>
      <c r="E4" s="81" t="s">
        <v>7</v>
      </c>
      <c r="F4" s="80" t="s">
        <v>66</v>
      </c>
      <c r="G4" s="79" t="s">
        <v>7</v>
      </c>
      <c r="H4" s="80" t="s">
        <v>67</v>
      </c>
      <c r="I4" s="82"/>
    </row>
    <row r="5" spans="1:9" ht="13.5" thickTop="1">
      <c r="A5" s="83" t="s">
        <v>6</v>
      </c>
      <c r="B5" s="84" t="e">
        <v>#DIV/0!</v>
      </c>
      <c r="C5" s="85" t="s">
        <v>6</v>
      </c>
      <c r="D5" s="84" t="e">
        <v>#DIV/0!</v>
      </c>
      <c r="E5" s="85" t="s">
        <v>6</v>
      </c>
      <c r="F5" s="84" t="e">
        <v>#DIV/0!</v>
      </c>
      <c r="G5" s="86" t="s">
        <v>6</v>
      </c>
      <c r="H5" s="87" t="e">
        <v>#DIV/0!</v>
      </c>
      <c r="I5" s="82"/>
    </row>
    <row r="6" spans="1:9">
      <c r="A6" s="88" t="s">
        <v>30</v>
      </c>
      <c r="B6" s="89" t="e">
        <v>#DIV/0!</v>
      </c>
      <c r="C6" s="90" t="s">
        <v>30</v>
      </c>
      <c r="D6" s="89" t="e">
        <v>#DIV/0!</v>
      </c>
      <c r="E6" s="90" t="s">
        <v>30</v>
      </c>
      <c r="F6" s="89" t="e">
        <v>#DIV/0!</v>
      </c>
      <c r="G6" s="91" t="s">
        <v>30</v>
      </c>
      <c r="H6" s="92" t="e">
        <v>#DIV/0!</v>
      </c>
      <c r="I6" s="82"/>
    </row>
    <row r="7" spans="1:9">
      <c r="A7" s="88" t="s">
        <v>8</v>
      </c>
      <c r="B7" s="89" t="e">
        <v>#DIV/0!</v>
      </c>
      <c r="C7" s="90" t="s">
        <v>8</v>
      </c>
      <c r="D7" s="89" t="e">
        <v>#DIV/0!</v>
      </c>
      <c r="E7" s="90" t="s">
        <v>8</v>
      </c>
      <c r="F7" s="89" t="e">
        <v>#DIV/0!</v>
      </c>
      <c r="G7" s="91" t="s">
        <v>8</v>
      </c>
      <c r="H7" s="92" t="e">
        <v>#DIV/0!</v>
      </c>
      <c r="I7" s="82"/>
    </row>
    <row r="8" spans="1:9">
      <c r="A8" s="88" t="s">
        <v>9</v>
      </c>
      <c r="B8" s="89" t="e">
        <v>#DIV/0!</v>
      </c>
      <c r="C8" s="90" t="s">
        <v>9</v>
      </c>
      <c r="D8" s="89" t="e">
        <v>#DIV/0!</v>
      </c>
      <c r="E8" s="90" t="s">
        <v>9</v>
      </c>
      <c r="F8" s="89" t="e">
        <v>#DIV/0!</v>
      </c>
      <c r="G8" s="91" t="s">
        <v>9</v>
      </c>
      <c r="H8" s="92" t="e">
        <v>#DIV/0!</v>
      </c>
      <c r="I8" s="82"/>
    </row>
    <row r="9" spans="1:9">
      <c r="A9" s="88" t="s">
        <v>10</v>
      </c>
      <c r="B9" s="89" t="e">
        <v>#DIV/0!</v>
      </c>
      <c r="C9" s="90" t="s">
        <v>10</v>
      </c>
      <c r="D9" s="89" t="e">
        <v>#DIV/0!</v>
      </c>
      <c r="E9" s="90" t="s">
        <v>10</v>
      </c>
      <c r="F9" s="89" t="e">
        <v>#DIV/0!</v>
      </c>
      <c r="G9" s="91" t="s">
        <v>10</v>
      </c>
      <c r="H9" s="92" t="e">
        <v>#DIV/0!</v>
      </c>
      <c r="I9" s="82"/>
    </row>
    <row r="10" spans="1:9">
      <c r="A10" s="88" t="s">
        <v>11</v>
      </c>
      <c r="B10" s="89" t="e">
        <v>#DIV/0!</v>
      </c>
      <c r="C10" s="90" t="s">
        <v>11</v>
      </c>
      <c r="D10" s="89" t="e">
        <v>#DIV/0!</v>
      </c>
      <c r="E10" s="90" t="s">
        <v>11</v>
      </c>
      <c r="F10" s="89" t="e">
        <v>#DIV/0!</v>
      </c>
      <c r="G10" s="91" t="s">
        <v>11</v>
      </c>
      <c r="H10" s="92" t="e">
        <v>#DIV/0!</v>
      </c>
      <c r="I10" s="82"/>
    </row>
    <row r="11" spans="1:9">
      <c r="A11" s="88" t="s">
        <v>12</v>
      </c>
      <c r="B11" s="89" t="e">
        <v>#DIV/0!</v>
      </c>
      <c r="C11" s="90" t="s">
        <v>12</v>
      </c>
      <c r="D11" s="89" t="e">
        <v>#DIV/0!</v>
      </c>
      <c r="E11" s="90" t="s">
        <v>12</v>
      </c>
      <c r="F11" s="89" t="e">
        <v>#DIV/0!</v>
      </c>
      <c r="G11" s="91" t="s">
        <v>12</v>
      </c>
      <c r="H11" s="92" t="e">
        <v>#DIV/0!</v>
      </c>
      <c r="I11" s="82"/>
    </row>
    <row r="12" spans="1:9">
      <c r="A12" s="88" t="s">
        <v>13</v>
      </c>
      <c r="B12" s="89" t="e">
        <v>#DIV/0!</v>
      </c>
      <c r="C12" s="90" t="s">
        <v>13</v>
      </c>
      <c r="D12" s="89" t="e">
        <v>#DIV/0!</v>
      </c>
      <c r="E12" s="90" t="s">
        <v>13</v>
      </c>
      <c r="F12" s="89" t="e">
        <v>#DIV/0!</v>
      </c>
      <c r="G12" s="91" t="s">
        <v>13</v>
      </c>
      <c r="H12" s="92" t="e">
        <v>#DIV/0!</v>
      </c>
      <c r="I12" s="82"/>
    </row>
    <row r="13" spans="1:9">
      <c r="A13" s="88" t="s">
        <v>14</v>
      </c>
      <c r="B13" s="89" t="e">
        <v>#DIV/0!</v>
      </c>
      <c r="C13" s="90" t="s">
        <v>14</v>
      </c>
      <c r="D13" s="89" t="e">
        <v>#DIV/0!</v>
      </c>
      <c r="E13" s="90" t="s">
        <v>14</v>
      </c>
      <c r="F13" s="89" t="e">
        <v>#DIV/0!</v>
      </c>
      <c r="G13" s="91" t="s">
        <v>14</v>
      </c>
      <c r="H13" s="92" t="e">
        <v>#DIV/0!</v>
      </c>
      <c r="I13" s="82"/>
    </row>
    <row r="14" spans="1:9">
      <c r="A14" s="88" t="s">
        <v>15</v>
      </c>
      <c r="B14" s="89" t="e">
        <v>#DIV/0!</v>
      </c>
      <c r="C14" s="90" t="s">
        <v>15</v>
      </c>
      <c r="D14" s="89" t="e">
        <v>#DIV/0!</v>
      </c>
      <c r="E14" s="90" t="s">
        <v>15</v>
      </c>
      <c r="F14" s="89" t="e">
        <v>#DIV/0!</v>
      </c>
      <c r="G14" s="91" t="s">
        <v>15</v>
      </c>
      <c r="H14" s="92" t="e">
        <v>#DIV/0!</v>
      </c>
      <c r="I14" s="82"/>
    </row>
    <row r="15" spans="1:9" ht="13.5" thickBot="1">
      <c r="A15" s="93" t="s">
        <v>16</v>
      </c>
      <c r="B15" s="94" t="e">
        <v>#DIV/0!</v>
      </c>
      <c r="C15" s="95" t="s">
        <v>16</v>
      </c>
      <c r="D15" s="94" t="e">
        <v>#DIV/0!</v>
      </c>
      <c r="E15" s="95" t="s">
        <v>16</v>
      </c>
      <c r="F15" s="94" t="e">
        <v>#DIV/0!</v>
      </c>
      <c r="G15" s="96" t="s">
        <v>16</v>
      </c>
      <c r="H15" s="94" t="e">
        <v>#DIV/0!</v>
      </c>
      <c r="I15" s="82"/>
    </row>
    <row r="16" spans="1:9" ht="13.5" thickTop="1">
      <c r="G16" s="78"/>
      <c r="H16" s="78"/>
    </row>
  </sheetData>
  <sortState ref="G5:H14">
    <sortCondition descending="1" ref="H5"/>
  </sortState>
  <phoneticPr fontId="7" type="noConversion"/>
  <pageMargins left="0.75" right="0.75" top="1" bottom="1" header="0" footer="0"/>
  <pageSetup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1:I49"/>
  <sheetViews>
    <sheetView showGridLines="0" zoomScaleNormal="100" zoomScaleSheetLayoutView="100" workbookViewId="0">
      <selection activeCell="C28" sqref="C28"/>
    </sheetView>
  </sheetViews>
  <sheetFormatPr baseColWidth="10" defaultRowHeight="12.75"/>
  <cols>
    <col min="1" max="1" width="6.28515625" customWidth="1"/>
    <col min="2" max="2" width="24.85546875" customWidth="1"/>
    <col min="3" max="3" width="13.42578125" customWidth="1"/>
    <col min="4" max="8" width="15.7109375" customWidth="1"/>
    <col min="9" max="9" width="13.42578125" bestFit="1" customWidth="1"/>
  </cols>
  <sheetData>
    <row r="1" spans="1:9" ht="12.75" customHeight="1">
      <c r="D1" s="57"/>
      <c r="E1" s="57"/>
      <c r="F1" s="57"/>
      <c r="G1" s="57"/>
      <c r="H1" s="58"/>
    </row>
    <row r="2" spans="1:9" ht="12.75" customHeight="1">
      <c r="D2" s="57"/>
      <c r="E2" s="57"/>
      <c r="F2" s="57"/>
      <c r="G2" s="57"/>
      <c r="H2" s="58"/>
    </row>
    <row r="3" spans="1:9" ht="12.75" customHeight="1">
      <c r="D3" s="57"/>
      <c r="E3" s="57"/>
      <c r="F3" s="57"/>
      <c r="G3" s="57"/>
      <c r="H3" s="58"/>
    </row>
    <row r="4" spans="1:9" ht="12.75" customHeight="1">
      <c r="D4" s="57"/>
      <c r="E4" s="57"/>
      <c r="F4" s="57"/>
      <c r="G4" s="57"/>
      <c r="H4" s="58"/>
    </row>
    <row r="5" spans="1:9" ht="12.75" customHeight="1">
      <c r="B5" s="59"/>
      <c r="C5" s="59"/>
      <c r="D5" s="57"/>
      <c r="E5" s="57"/>
      <c r="F5" s="57"/>
      <c r="G5" s="57"/>
      <c r="H5" s="58"/>
    </row>
    <row r="6" spans="1:9" ht="12.75" customHeight="1">
      <c r="D6" s="57"/>
      <c r="E6" s="57"/>
      <c r="F6" s="57"/>
      <c r="G6" s="57"/>
      <c r="H6" s="58"/>
    </row>
    <row r="7" spans="1:9" ht="12.75" customHeight="1">
      <c r="D7" s="57"/>
      <c r="E7" s="57"/>
      <c r="F7" s="57"/>
      <c r="G7" s="57"/>
      <c r="H7" s="58"/>
    </row>
    <row r="8" spans="1:9" ht="12.75" customHeight="1">
      <c r="B8" s="60"/>
      <c r="C8" s="60"/>
      <c r="D8" s="61"/>
      <c r="E8" s="61"/>
      <c r="F8" s="61"/>
      <c r="G8" s="61"/>
      <c r="H8" s="58"/>
    </row>
    <row r="9" spans="1:9" ht="12.75" customHeight="1">
      <c r="A9" s="264"/>
      <c r="B9" s="264"/>
      <c r="C9" s="264"/>
      <c r="D9" s="264"/>
      <c r="E9" s="264"/>
      <c r="F9" s="264"/>
      <c r="G9" s="264"/>
      <c r="H9" s="264"/>
      <c r="I9" s="264"/>
    </row>
    <row r="10" spans="1:9" ht="12.75" customHeight="1">
      <c r="A10" s="264"/>
      <c r="B10" s="264"/>
      <c r="C10" s="264"/>
      <c r="D10" s="264"/>
      <c r="E10" s="264"/>
      <c r="F10" s="264"/>
      <c r="G10" s="264"/>
      <c r="H10" s="264"/>
      <c r="I10" s="264"/>
    </row>
    <row r="11" spans="1:9" ht="12.75" customHeight="1"/>
    <row r="12" spans="1:9" ht="12.75" customHeight="1"/>
    <row r="13" spans="1:9" ht="12.75" customHeight="1"/>
    <row r="14" spans="1:9" ht="12.75" customHeight="1"/>
    <row r="15" spans="1:9" ht="12.75" customHeight="1"/>
    <row r="16" spans="1:9" ht="12.75" customHeight="1"/>
    <row r="17" spans="1:9" ht="22.5" customHeight="1"/>
    <row r="18" spans="1:9" ht="12.75" customHeight="1">
      <c r="A18" s="261" t="s">
        <v>31</v>
      </c>
      <c r="B18" s="261" t="s">
        <v>7</v>
      </c>
      <c r="C18" s="261" t="s">
        <v>80</v>
      </c>
      <c r="D18" s="261" t="s">
        <v>69</v>
      </c>
      <c r="E18" s="261" t="s">
        <v>70</v>
      </c>
      <c r="F18" s="261" t="s">
        <v>72</v>
      </c>
      <c r="G18" s="261" t="s">
        <v>71</v>
      </c>
      <c r="H18" s="261" t="s">
        <v>32</v>
      </c>
      <c r="I18" s="108"/>
    </row>
    <row r="19" spans="1:9" ht="12.75" customHeight="1">
      <c r="A19" s="261"/>
      <c r="B19" s="261"/>
      <c r="C19" s="261"/>
      <c r="D19" s="261"/>
      <c r="E19" s="261"/>
      <c r="F19" s="261"/>
      <c r="G19" s="261"/>
      <c r="H19" s="261"/>
      <c r="I19" s="108"/>
    </row>
    <row r="20" spans="1:9" ht="12.75" customHeight="1">
      <c r="A20" s="261"/>
      <c r="B20" s="261"/>
      <c r="C20" s="261"/>
      <c r="D20" s="261"/>
      <c r="E20" s="261"/>
      <c r="F20" s="261"/>
      <c r="G20" s="261"/>
      <c r="H20" s="261"/>
      <c r="I20" s="108"/>
    </row>
    <row r="21" spans="1:9" ht="12.75" customHeight="1">
      <c r="A21" s="261"/>
      <c r="B21" s="261"/>
      <c r="C21" s="261"/>
      <c r="D21" s="261"/>
      <c r="E21" s="261"/>
      <c r="F21" s="261"/>
      <c r="G21" s="261"/>
      <c r="H21" s="261"/>
      <c r="I21" s="108"/>
    </row>
    <row r="22" spans="1:9" ht="12.75" customHeight="1">
      <c r="A22" s="261"/>
      <c r="B22" s="261"/>
      <c r="C22" s="261"/>
      <c r="D22" s="261"/>
      <c r="E22" s="261"/>
      <c r="F22" s="261"/>
      <c r="G22" s="261"/>
      <c r="H22" s="261"/>
      <c r="I22" s="108"/>
    </row>
    <row r="23" spans="1:9" ht="12.75" customHeight="1">
      <c r="A23" s="261"/>
      <c r="B23" s="261"/>
      <c r="C23" s="261"/>
      <c r="D23" s="261"/>
      <c r="E23" s="261"/>
      <c r="F23" s="261"/>
      <c r="G23" s="261"/>
      <c r="H23" s="261"/>
      <c r="I23" s="108"/>
    </row>
    <row r="24" spans="1:9" ht="12.75" customHeight="1">
      <c r="A24" s="261"/>
      <c r="B24" s="261"/>
      <c r="C24" s="261"/>
      <c r="D24" s="261"/>
      <c r="E24" s="261"/>
      <c r="F24" s="261"/>
      <c r="G24" s="261"/>
      <c r="H24" s="261"/>
      <c r="I24" s="108"/>
    </row>
    <row r="25" spans="1:9" ht="6.75" customHeight="1">
      <c r="A25" s="261"/>
      <c r="B25" s="261"/>
      <c r="C25" s="261"/>
      <c r="D25" s="261"/>
      <c r="E25" s="261"/>
      <c r="F25" s="261"/>
      <c r="G25" s="261"/>
      <c r="H25" s="261"/>
      <c r="I25" s="108"/>
    </row>
    <row r="26" spans="1:9" ht="9.75" hidden="1" customHeight="1">
      <c r="A26" s="261"/>
      <c r="B26" s="261"/>
      <c r="C26" s="210"/>
      <c r="D26" s="261"/>
      <c r="E26" s="210"/>
      <c r="F26" s="210"/>
      <c r="G26" s="261"/>
      <c r="H26" s="261"/>
      <c r="I26" s="108"/>
    </row>
    <row r="27" spans="1:9" ht="12.75" hidden="1" customHeight="1">
      <c r="A27" s="261"/>
      <c r="B27" s="261"/>
      <c r="C27" s="210"/>
      <c r="D27" s="261"/>
      <c r="E27" s="210"/>
      <c r="F27" s="210"/>
      <c r="G27" s="261"/>
      <c r="H27" s="261"/>
      <c r="I27" s="108"/>
    </row>
    <row r="28" spans="1:9" ht="39.950000000000003" customHeight="1">
      <c r="A28" s="198">
        <v>1</v>
      </c>
      <c r="B28" s="204" t="str">
        <f>datos1!A5</f>
        <v>Tuxtla</v>
      </c>
      <c r="C28" s="205">
        <f>datos1!B5</f>
        <v>2</v>
      </c>
      <c r="D28" s="205" t="e">
        <f>datos1!C5</f>
        <v>#DIV/0!</v>
      </c>
      <c r="E28" s="205" t="e">
        <f>datos1!D5</f>
        <v>#DIV/0!</v>
      </c>
      <c r="F28" s="205" t="e">
        <f>datos1!E5</f>
        <v>#DIV/0!</v>
      </c>
      <c r="G28" s="205" t="e">
        <f>datos1!F5</f>
        <v>#DIV/0!</v>
      </c>
      <c r="H28" s="205" t="e">
        <f>datos1!H5</f>
        <v>#DIV/0!</v>
      </c>
      <c r="I28" s="206" t="e">
        <f>H28</f>
        <v>#DIV/0!</v>
      </c>
    </row>
    <row r="29" spans="1:9" ht="39.950000000000003" customHeight="1">
      <c r="A29" s="201">
        <v>2</v>
      </c>
      <c r="B29" s="202" t="str">
        <f>datos1!A6</f>
        <v>San Cristóbal</v>
      </c>
      <c r="C29" s="203">
        <f>datos1!B6</f>
        <v>2</v>
      </c>
      <c r="D29" s="203" t="e">
        <f>datos1!C6</f>
        <v>#DIV/0!</v>
      </c>
      <c r="E29" s="203" t="e">
        <f>datos1!D6</f>
        <v>#DIV/0!</v>
      </c>
      <c r="F29" s="203" t="e">
        <f>datos1!E6</f>
        <v>#DIV/0!</v>
      </c>
      <c r="G29" s="203" t="e">
        <f>datos1!F6</f>
        <v>#DIV/0!</v>
      </c>
      <c r="H29" s="203" t="e">
        <f>datos1!H6</f>
        <v>#DIV/0!</v>
      </c>
      <c r="I29" s="200" t="e">
        <f t="shared" ref="I29:I38" si="0">H29</f>
        <v>#DIV/0!</v>
      </c>
    </row>
    <row r="30" spans="1:9" ht="39.950000000000003" customHeight="1">
      <c r="A30" s="198">
        <v>3</v>
      </c>
      <c r="B30" s="204" t="str">
        <f>datos1!A7</f>
        <v>Comitán</v>
      </c>
      <c r="C30" s="205">
        <f>datos1!B7</f>
        <v>2</v>
      </c>
      <c r="D30" s="205" t="e">
        <f>datos1!C7</f>
        <v>#DIV/0!</v>
      </c>
      <c r="E30" s="205" t="e">
        <f>datos1!D7</f>
        <v>#DIV/0!</v>
      </c>
      <c r="F30" s="205" t="e">
        <f>datos1!E7</f>
        <v>#DIV/0!</v>
      </c>
      <c r="G30" s="205" t="e">
        <f>datos1!F7</f>
        <v>#DIV/0!</v>
      </c>
      <c r="H30" s="205" t="e">
        <f>datos1!H7</f>
        <v>#DIV/0!</v>
      </c>
      <c r="I30" s="207" t="e">
        <f t="shared" si="0"/>
        <v>#DIV/0!</v>
      </c>
    </row>
    <row r="31" spans="1:9" ht="39.950000000000003" customHeight="1">
      <c r="A31" s="201">
        <v>4</v>
      </c>
      <c r="B31" s="202" t="str">
        <f>datos1!A8</f>
        <v>Villaflores</v>
      </c>
      <c r="C31" s="203">
        <f>datos1!B8</f>
        <v>2</v>
      </c>
      <c r="D31" s="203" t="e">
        <f>datos1!C8</f>
        <v>#DIV/0!</v>
      </c>
      <c r="E31" s="203" t="e">
        <f>datos1!D8</f>
        <v>#DIV/0!</v>
      </c>
      <c r="F31" s="203" t="e">
        <f>datos1!E8</f>
        <v>#DIV/0!</v>
      </c>
      <c r="G31" s="203" t="e">
        <f>datos1!F8</f>
        <v>#DIV/0!</v>
      </c>
      <c r="H31" s="203" t="e">
        <f>datos1!H8</f>
        <v>#DIV/0!</v>
      </c>
      <c r="I31" s="200" t="e">
        <f t="shared" si="0"/>
        <v>#DIV/0!</v>
      </c>
    </row>
    <row r="32" spans="1:9" ht="39.950000000000003" customHeight="1">
      <c r="A32" s="198">
        <v>5</v>
      </c>
      <c r="B32" s="204" t="str">
        <f>datos1!A9</f>
        <v>Pichucalco</v>
      </c>
      <c r="C32" s="205">
        <f>datos1!B9</f>
        <v>2</v>
      </c>
      <c r="D32" s="205" t="e">
        <f>datos1!C9</f>
        <v>#DIV/0!</v>
      </c>
      <c r="E32" s="205" t="e">
        <f>datos1!D9</f>
        <v>#DIV/0!</v>
      </c>
      <c r="F32" s="205" t="e">
        <f>datos1!E9</f>
        <v>#DIV/0!</v>
      </c>
      <c r="G32" s="205" t="e">
        <f>datos1!F9</f>
        <v>#DIV/0!</v>
      </c>
      <c r="H32" s="205" t="e">
        <f>datos1!H9</f>
        <v>#DIV/0!</v>
      </c>
      <c r="I32" s="207" t="e">
        <f t="shared" si="0"/>
        <v>#DIV/0!</v>
      </c>
    </row>
    <row r="33" spans="1:9" ht="39.950000000000003" customHeight="1">
      <c r="A33" s="201">
        <v>6</v>
      </c>
      <c r="B33" s="202" t="str">
        <f>datos1!A10</f>
        <v>Palenque</v>
      </c>
      <c r="C33" s="203">
        <f>datos1!B10</f>
        <v>2</v>
      </c>
      <c r="D33" s="203" t="e">
        <f>datos1!C10</f>
        <v>#DIV/0!</v>
      </c>
      <c r="E33" s="203" t="e">
        <f>datos1!D10</f>
        <v>#DIV/0!</v>
      </c>
      <c r="F33" s="203" t="e">
        <f>datos1!E10</f>
        <v>#DIV/0!</v>
      </c>
      <c r="G33" s="203" t="e">
        <f>datos1!F10</f>
        <v>#DIV/0!</v>
      </c>
      <c r="H33" s="203" t="e">
        <f>datos1!H10</f>
        <v>#DIV/0!</v>
      </c>
      <c r="I33" s="200" t="e">
        <f t="shared" si="0"/>
        <v>#DIV/0!</v>
      </c>
    </row>
    <row r="34" spans="1:9" ht="39.950000000000003" customHeight="1">
      <c r="A34" s="198">
        <v>7</v>
      </c>
      <c r="B34" s="204" t="str">
        <f>datos1!A11</f>
        <v>Tapachula</v>
      </c>
      <c r="C34" s="205">
        <f>datos1!B11</f>
        <v>2</v>
      </c>
      <c r="D34" s="205" t="e">
        <f>datos1!C11</f>
        <v>#DIV/0!</v>
      </c>
      <c r="E34" s="205" t="e">
        <f>datos1!D11</f>
        <v>#DIV/0!</v>
      </c>
      <c r="F34" s="205" t="e">
        <f>datos1!E11</f>
        <v>#DIV/0!</v>
      </c>
      <c r="G34" s="205" t="e">
        <f>datos1!F11</f>
        <v>#DIV/0!</v>
      </c>
      <c r="H34" s="205" t="e">
        <f>datos1!H11</f>
        <v>#DIV/0!</v>
      </c>
      <c r="I34" s="207" t="e">
        <f t="shared" si="0"/>
        <v>#DIV/0!</v>
      </c>
    </row>
    <row r="35" spans="1:9" ht="39.950000000000003" customHeight="1">
      <c r="A35" s="201">
        <v>8</v>
      </c>
      <c r="B35" s="202" t="str">
        <f>datos1!A12</f>
        <v>Tonalá</v>
      </c>
      <c r="C35" s="203">
        <f>datos1!B12</f>
        <v>2</v>
      </c>
      <c r="D35" s="203" t="e">
        <f>datos1!C12</f>
        <v>#DIV/0!</v>
      </c>
      <c r="E35" s="203" t="e">
        <f>datos1!D12</f>
        <v>#DIV/0!</v>
      </c>
      <c r="F35" s="203" t="e">
        <f>datos1!E12</f>
        <v>#DIV/0!</v>
      </c>
      <c r="G35" s="203" t="e">
        <f>datos1!F12</f>
        <v>#DIV/0!</v>
      </c>
      <c r="H35" s="203" t="e">
        <f>datos1!H12</f>
        <v>#DIV/0!</v>
      </c>
      <c r="I35" s="200" t="e">
        <f t="shared" si="0"/>
        <v>#DIV/0!</v>
      </c>
    </row>
    <row r="36" spans="1:9" ht="39.950000000000003" customHeight="1">
      <c r="A36" s="198">
        <v>9</v>
      </c>
      <c r="B36" s="204" t="str">
        <f>datos1!A13</f>
        <v>Ocosingo</v>
      </c>
      <c r="C36" s="205">
        <f>datos1!B13</f>
        <v>2</v>
      </c>
      <c r="D36" s="205" t="e">
        <f>datos1!C13</f>
        <v>#DIV/0!</v>
      </c>
      <c r="E36" s="205" t="e">
        <f>datos1!D13</f>
        <v>#DIV/0!</v>
      </c>
      <c r="F36" s="205" t="e">
        <f>datos1!E13</f>
        <v>#DIV/0!</v>
      </c>
      <c r="G36" s="205" t="e">
        <f>datos1!F13</f>
        <v>#DIV/0!</v>
      </c>
      <c r="H36" s="205" t="e">
        <f>datos1!H13</f>
        <v>#DIV/0!</v>
      </c>
      <c r="I36" s="207" t="e">
        <f t="shared" si="0"/>
        <v>#DIV/0!</v>
      </c>
    </row>
    <row r="37" spans="1:9" ht="39.950000000000003" customHeight="1">
      <c r="A37" s="201">
        <v>10</v>
      </c>
      <c r="B37" s="202" t="str">
        <f>datos1!A14</f>
        <v>Motozintla</v>
      </c>
      <c r="C37" s="203">
        <f>datos1!B14</f>
        <v>2</v>
      </c>
      <c r="D37" s="203" t="e">
        <f>datos1!C14</f>
        <v>#DIV/0!</v>
      </c>
      <c r="E37" s="203" t="e">
        <f>datos1!D14</f>
        <v>#DIV/0!</v>
      </c>
      <c r="F37" s="203" t="e">
        <f>datos1!E14</f>
        <v>#DIV/0!</v>
      </c>
      <c r="G37" s="203" t="e">
        <f>datos1!F14</f>
        <v>#DIV/0!</v>
      </c>
      <c r="H37" s="203" t="e">
        <f>datos1!H14</f>
        <v>#DIV/0!</v>
      </c>
      <c r="I37" s="200" t="e">
        <f t="shared" si="0"/>
        <v>#DIV/0!</v>
      </c>
    </row>
    <row r="38" spans="1:9" ht="39.950000000000003" customHeight="1">
      <c r="A38" s="199"/>
      <c r="B38" s="208" t="str">
        <f>datos1!A15</f>
        <v>Estatal</v>
      </c>
      <c r="C38" s="209">
        <f>datos1!B15</f>
        <v>2</v>
      </c>
      <c r="D38" s="209" t="e">
        <f>datos1!C15</f>
        <v>#DIV/0!</v>
      </c>
      <c r="E38" s="209" t="e">
        <f>datos1!D15</f>
        <v>#DIV/0!</v>
      </c>
      <c r="F38" s="209" t="e">
        <f>datos1!E15</f>
        <v>#DIV/0!</v>
      </c>
      <c r="G38" s="209" t="e">
        <f>datos1!F15</f>
        <v>#DIV/0!</v>
      </c>
      <c r="H38" s="209" t="e">
        <f>datos1!H15</f>
        <v>#DIV/0!</v>
      </c>
      <c r="I38" s="207" t="e">
        <f t="shared" si="0"/>
        <v>#DIV/0!</v>
      </c>
    </row>
    <row r="39" spans="1:9" ht="12.75" customHeight="1"/>
    <row r="40" spans="1:9" ht="12.75" customHeight="1"/>
    <row r="41" spans="1:9" ht="12.75" customHeight="1"/>
    <row r="42" spans="1:9" ht="12.75" customHeight="1" thickBot="1">
      <c r="A42" s="74"/>
    </row>
    <row r="43" spans="1:9" ht="12.75" customHeight="1">
      <c r="F43" s="259" t="s">
        <v>34</v>
      </c>
      <c r="G43" s="259" t="s">
        <v>35</v>
      </c>
      <c r="H43" s="262" t="s">
        <v>36</v>
      </c>
    </row>
    <row r="44" spans="1:9" ht="18" customHeight="1" thickBot="1">
      <c r="A44" s="75"/>
      <c r="B44" s="76"/>
      <c r="C44" s="76"/>
      <c r="F44" s="260"/>
      <c r="G44" s="260"/>
      <c r="H44" s="263"/>
    </row>
    <row r="45" spans="1:9" ht="15.75" customHeight="1">
      <c r="A45" s="75"/>
      <c r="B45" s="76"/>
      <c r="C45" s="76"/>
      <c r="F45" s="189" t="s">
        <v>37</v>
      </c>
      <c r="G45" s="190" t="s">
        <v>75</v>
      </c>
      <c r="H45" s="184"/>
    </row>
    <row r="46" spans="1:9" ht="14.25" customHeight="1">
      <c r="A46" s="75"/>
      <c r="B46" s="76"/>
      <c r="C46" s="76"/>
      <c r="F46" s="191" t="s">
        <v>38</v>
      </c>
      <c r="G46" s="192" t="s">
        <v>61</v>
      </c>
      <c r="H46" s="185"/>
    </row>
    <row r="47" spans="1:9" ht="14.1" customHeight="1">
      <c r="A47" s="75"/>
      <c r="B47" s="77"/>
      <c r="C47" s="77"/>
      <c r="F47" s="191" t="s">
        <v>39</v>
      </c>
      <c r="G47" s="192" t="s">
        <v>74</v>
      </c>
      <c r="H47" s="186"/>
    </row>
    <row r="48" spans="1:9" ht="14.1" customHeight="1" thickBot="1">
      <c r="B48" s="73"/>
      <c r="C48" s="73"/>
      <c r="F48" s="193" t="s">
        <v>40</v>
      </c>
      <c r="G48" s="194" t="s">
        <v>73</v>
      </c>
      <c r="H48" s="187"/>
    </row>
    <row r="49" spans="6:8" ht="12.75" customHeight="1">
      <c r="F49" s="188"/>
      <c r="G49" s="188"/>
      <c r="H49" s="188"/>
    </row>
  </sheetData>
  <sheetProtection selectLockedCells="1"/>
  <mergeCells count="12">
    <mergeCell ref="D18:D27"/>
    <mergeCell ref="A9:I10"/>
    <mergeCell ref="A18:A27"/>
    <mergeCell ref="B18:B27"/>
    <mergeCell ref="G18:G27"/>
    <mergeCell ref="H18:H27"/>
    <mergeCell ref="C18:C25"/>
    <mergeCell ref="G43:G44"/>
    <mergeCell ref="E18:E25"/>
    <mergeCell ref="F18:F25"/>
    <mergeCell ref="F43:F44"/>
    <mergeCell ref="H43:H44"/>
  </mergeCells>
  <phoneticPr fontId="0" type="noConversion"/>
  <conditionalFormatting sqref="I28:I38">
    <cfRule type="iconSet" priority="1">
      <iconSet iconSet="4TrafficLights" showValue="0">
        <cfvo type="percent" val="0"/>
        <cfvo type="num" val="40"/>
        <cfvo type="num" val="60"/>
        <cfvo type="num" val="80"/>
      </iconSet>
    </cfRule>
  </conditionalFormatting>
  <printOptions horizontalCentered="1"/>
  <pageMargins left="0.78740157480314965" right="0.78740157480314965" top="0.78740157480314965" bottom="0.78740157480314965" header="0" footer="0"/>
  <pageSetup scale="67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3:P27"/>
  <sheetViews>
    <sheetView showGridLines="0" zoomScaleNormal="100" workbookViewId="0">
      <selection activeCell="M18" sqref="M18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3" spans="1:16">
      <c r="A3" s="63"/>
    </row>
    <row r="4" spans="1:16">
      <c r="A4" s="63"/>
    </row>
    <row r="5" spans="1:16">
      <c r="A5" s="63"/>
    </row>
    <row r="6" spans="1:16" ht="20.25" customHeight="1">
      <c r="I6" s="65"/>
    </row>
    <row r="7" spans="1:16">
      <c r="I7" s="65"/>
    </row>
    <row r="8" spans="1:16" ht="39.950000000000003" customHeight="1">
      <c r="B8" s="66"/>
      <c r="H8" s="67" t="e">
        <f>datos1!H5</f>
        <v>#DIV/0!</v>
      </c>
      <c r="J8" s="211"/>
      <c r="K8" s="27"/>
      <c r="L8" s="27"/>
      <c r="M8" s="27"/>
      <c r="N8" s="27"/>
      <c r="O8" s="27"/>
      <c r="P8" s="27"/>
    </row>
    <row r="9" spans="1:16" ht="39.950000000000003" customHeight="1">
      <c r="B9" s="66"/>
      <c r="H9" s="67" t="e">
        <f>datos1!H6</f>
        <v>#DIV/0!</v>
      </c>
    </row>
    <row r="10" spans="1:16" ht="39.950000000000003" customHeight="1">
      <c r="B10" s="66"/>
      <c r="H10" s="67" t="e">
        <f>datos1!H7</f>
        <v>#DIV/0!</v>
      </c>
    </row>
    <row r="11" spans="1:16" ht="39.950000000000003" customHeight="1">
      <c r="B11" s="66"/>
      <c r="H11" s="67" t="e">
        <f>datos1!H8</f>
        <v>#DIV/0!</v>
      </c>
    </row>
    <row r="12" spans="1:16" ht="39.950000000000003" customHeight="1">
      <c r="B12" s="66"/>
      <c r="H12" s="67" t="e">
        <f>datos1!H9</f>
        <v>#DIV/0!</v>
      </c>
    </row>
    <row r="13" spans="1:16" ht="39.950000000000003" customHeight="1">
      <c r="B13" s="66"/>
      <c r="H13" s="67" t="e">
        <f>datos1!H10</f>
        <v>#DIV/0!</v>
      </c>
    </row>
    <row r="14" spans="1:16" ht="39.950000000000003" customHeight="1">
      <c r="B14" s="66"/>
      <c r="H14" s="67" t="e">
        <f>datos1!H11</f>
        <v>#DIV/0!</v>
      </c>
    </row>
    <row r="15" spans="1:16" ht="39.950000000000003" customHeight="1">
      <c r="B15" s="66"/>
      <c r="H15" s="67" t="e">
        <f>datos1!H12</f>
        <v>#DIV/0!</v>
      </c>
    </row>
    <row r="16" spans="1:16" ht="39.950000000000003" customHeight="1">
      <c r="B16" s="66"/>
      <c r="H16" s="67" t="e">
        <f>datos1!H13</f>
        <v>#DIV/0!</v>
      </c>
    </row>
    <row r="17" spans="2:8" ht="39.950000000000003" customHeight="1">
      <c r="B17" s="66"/>
      <c r="H17" s="67" t="e">
        <f>datos1!H14</f>
        <v>#DIV/0!</v>
      </c>
    </row>
    <row r="18" spans="2:8" ht="39.950000000000003" customHeight="1">
      <c r="B18" s="66"/>
      <c r="H18" s="67" t="e">
        <f>datos1!H15</f>
        <v>#DIV/0!</v>
      </c>
    </row>
    <row r="19" spans="2:8">
      <c r="H19" s="68"/>
    </row>
    <row r="20" spans="2:8" ht="13.5" thickBot="1">
      <c r="H20" s="68"/>
    </row>
    <row r="21" spans="2:8" ht="13.5" customHeight="1" thickTop="1">
      <c r="B21" s="265" t="s">
        <v>34</v>
      </c>
      <c r="C21" s="266"/>
      <c r="D21" s="287" t="s">
        <v>35</v>
      </c>
      <c r="E21" s="288"/>
      <c r="F21" s="283" t="s">
        <v>36</v>
      </c>
      <c r="G21" s="284"/>
    </row>
    <row r="22" spans="2:8" ht="21" customHeight="1">
      <c r="B22" s="267"/>
      <c r="C22" s="268"/>
      <c r="D22" s="289"/>
      <c r="E22" s="290"/>
      <c r="F22" s="285"/>
      <c r="G22" s="286"/>
    </row>
    <row r="23" spans="2:8" ht="12.75" customHeight="1">
      <c r="B23" s="269" t="s">
        <v>37</v>
      </c>
      <c r="C23" s="270"/>
      <c r="D23" s="273" t="s">
        <v>75</v>
      </c>
      <c r="E23" s="274"/>
      <c r="F23" s="291"/>
      <c r="G23" s="292"/>
    </row>
    <row r="24" spans="2:8">
      <c r="B24" s="269" t="s">
        <v>38</v>
      </c>
      <c r="C24" s="270"/>
      <c r="D24" s="273" t="s">
        <v>61</v>
      </c>
      <c r="E24" s="274"/>
      <c r="F24" s="275"/>
      <c r="G24" s="276"/>
    </row>
    <row r="25" spans="2:8">
      <c r="B25" s="269" t="s">
        <v>39</v>
      </c>
      <c r="C25" s="270"/>
      <c r="D25" s="273" t="s">
        <v>74</v>
      </c>
      <c r="E25" s="274"/>
      <c r="F25" s="277"/>
      <c r="G25" s="278"/>
    </row>
    <row r="26" spans="2:8" ht="13.5" thickBot="1">
      <c r="B26" s="271" t="s">
        <v>40</v>
      </c>
      <c r="C26" s="272"/>
      <c r="D26" s="281" t="s">
        <v>73</v>
      </c>
      <c r="E26" s="282"/>
      <c r="F26" s="279"/>
      <c r="G26" s="280"/>
    </row>
    <row r="27" spans="2:8" ht="13.5" thickTop="1">
      <c r="B27" s="3"/>
      <c r="C27" s="3"/>
      <c r="D27" s="3"/>
      <c r="E27" s="3"/>
      <c r="F27" s="3"/>
      <c r="G27" s="3"/>
    </row>
  </sheetData>
  <mergeCells count="15">
    <mergeCell ref="F24:G24"/>
    <mergeCell ref="F25:G25"/>
    <mergeCell ref="F26:G26"/>
    <mergeCell ref="D26:E26"/>
    <mergeCell ref="F21:G22"/>
    <mergeCell ref="D21:E22"/>
    <mergeCell ref="D23:E23"/>
    <mergeCell ref="F23:G23"/>
    <mergeCell ref="B21:C22"/>
    <mergeCell ref="B23:C23"/>
    <mergeCell ref="B26:C26"/>
    <mergeCell ref="D24:E24"/>
    <mergeCell ref="D25:E25"/>
    <mergeCell ref="B24:C24"/>
    <mergeCell ref="B25:C25"/>
  </mergeCells>
  <phoneticPr fontId="7" type="noConversion"/>
  <conditionalFormatting sqref="J8:P8">
    <cfRule type="dataBar" priority="2">
      <dataBar showValue="0">
        <cfvo type="num" val="0"/>
        <cfvo type="num" val="39.9"/>
        <color theme="1"/>
      </dataBar>
    </cfRule>
    <cfRule type="colorScale" priority="1">
      <colorScale>
        <cfvo type="num" val="40"/>
        <cfvo type="num" val="60"/>
        <cfvo type="num" val="80"/>
        <color theme="1"/>
        <color rgb="FFFFEB84"/>
        <color rgb="FF63BE7B"/>
      </colorScale>
    </cfRule>
  </conditionalFormatting>
  <printOptions horizontalCentered="1"/>
  <pageMargins left="0.78740157480314965" right="0.78740157480314965" top="0.98425196850393704" bottom="0.98425196850393704" header="0" footer="0"/>
  <pageSetup scale="98" orientation="portrait" verticalDpi="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3:H45"/>
  <sheetViews>
    <sheetView showGridLines="0" zoomScaleNormal="100" workbookViewId="0">
      <selection activeCell="M34" sqref="M34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3" spans="1:8">
      <c r="A3" s="63"/>
    </row>
    <row r="4" spans="1:8" ht="12" customHeight="1">
      <c r="A4" s="63"/>
    </row>
    <row r="5" spans="1:8" ht="12" customHeight="1"/>
    <row r="7" spans="1:8" ht="24.95" customHeight="1">
      <c r="B7" s="66"/>
      <c r="H7" s="69" t="e">
        <f>datos3!B5</f>
        <v>#DIV/0!</v>
      </c>
    </row>
    <row r="8" spans="1:8" ht="24.95" customHeight="1">
      <c r="B8" s="66"/>
      <c r="H8" s="69" t="e">
        <f>datos3!B6</f>
        <v>#DIV/0!</v>
      </c>
    </row>
    <row r="9" spans="1:8" ht="24.95" customHeight="1">
      <c r="B9" s="66"/>
      <c r="H9" s="69" t="e">
        <f>datos3!B7</f>
        <v>#DIV/0!</v>
      </c>
    </row>
    <row r="10" spans="1:8" ht="24.95" customHeight="1">
      <c r="B10" s="66"/>
      <c r="H10" s="69" t="e">
        <f>datos3!B8</f>
        <v>#DIV/0!</v>
      </c>
    </row>
    <row r="11" spans="1:8" ht="24.95" customHeight="1">
      <c r="B11" s="66"/>
      <c r="H11" s="69" t="e">
        <f>datos3!B9</f>
        <v>#DIV/0!</v>
      </c>
    </row>
    <row r="12" spans="1:8" ht="24.95" customHeight="1">
      <c r="B12" s="66"/>
      <c r="H12" s="69" t="e">
        <f>datos3!B10</f>
        <v>#DIV/0!</v>
      </c>
    </row>
    <row r="13" spans="1:8" ht="24.95" customHeight="1">
      <c r="B13" s="66"/>
      <c r="H13" s="69" t="e">
        <f>datos3!B11</f>
        <v>#DIV/0!</v>
      </c>
    </row>
    <row r="14" spans="1:8" ht="24.95" customHeight="1">
      <c r="B14" s="66"/>
      <c r="H14" s="69" t="e">
        <f>datos3!B12</f>
        <v>#DIV/0!</v>
      </c>
    </row>
    <row r="15" spans="1:8" ht="24.95" customHeight="1">
      <c r="B15" s="66"/>
      <c r="H15" s="69" t="e">
        <f>datos3!B13</f>
        <v>#DIV/0!</v>
      </c>
    </row>
    <row r="16" spans="1:8" ht="24.95" customHeight="1">
      <c r="B16" s="66"/>
      <c r="H16" s="69" t="e">
        <f>datos3!B14</f>
        <v>#DIV/0!</v>
      </c>
    </row>
    <row r="17" spans="2:8" ht="24.95" customHeight="1">
      <c r="B17" s="66"/>
      <c r="H17" s="69" t="e">
        <f>datos3!B15</f>
        <v>#DIV/0!</v>
      </c>
    </row>
    <row r="18" spans="2:8">
      <c r="H18" s="68"/>
    </row>
    <row r="19" spans="2:8">
      <c r="F19" s="195" t="s">
        <v>37</v>
      </c>
      <c r="G19" s="196" t="s">
        <v>50</v>
      </c>
      <c r="H19" s="97"/>
    </row>
    <row r="20" spans="2:8">
      <c r="F20" s="195" t="s">
        <v>45</v>
      </c>
      <c r="G20" s="196" t="s">
        <v>47</v>
      </c>
      <c r="H20" s="98"/>
    </row>
    <row r="21" spans="2:8">
      <c r="F21" s="195" t="s">
        <v>39</v>
      </c>
      <c r="G21" s="196" t="s">
        <v>48</v>
      </c>
      <c r="H21" s="99"/>
    </row>
    <row r="22" spans="2:8" ht="13.5" customHeight="1">
      <c r="F22" s="195" t="s">
        <v>40</v>
      </c>
      <c r="G22" s="196" t="s">
        <v>49</v>
      </c>
      <c r="H22" s="100"/>
    </row>
    <row r="23" spans="2:8" ht="12" customHeight="1"/>
    <row r="24" spans="2:8" ht="12.75" customHeight="1"/>
    <row r="27" spans="2:8" ht="12" customHeight="1"/>
    <row r="28" spans="2:8" ht="12" customHeight="1"/>
    <row r="29" spans="2:8" ht="19.5" customHeight="1"/>
    <row r="30" spans="2:8" ht="24.95" customHeight="1">
      <c r="H30" s="69" t="e">
        <f>datos3!D5</f>
        <v>#DIV/0!</v>
      </c>
    </row>
    <row r="31" spans="2:8" ht="24.95" customHeight="1">
      <c r="H31" s="69" t="e">
        <f>datos3!D6</f>
        <v>#DIV/0!</v>
      </c>
    </row>
    <row r="32" spans="2:8" ht="24.95" customHeight="1">
      <c r="H32" s="69" t="e">
        <f>datos3!D7</f>
        <v>#DIV/0!</v>
      </c>
    </row>
    <row r="33" spans="1:8" ht="24.95" customHeight="1">
      <c r="H33" s="69" t="e">
        <f>datos3!D8</f>
        <v>#DIV/0!</v>
      </c>
    </row>
    <row r="34" spans="1:8" ht="24.95" customHeight="1">
      <c r="H34" s="69" t="e">
        <f>datos3!D9</f>
        <v>#DIV/0!</v>
      </c>
    </row>
    <row r="35" spans="1:8" ht="24.95" customHeight="1">
      <c r="H35" s="69" t="e">
        <f>datos3!D10</f>
        <v>#DIV/0!</v>
      </c>
    </row>
    <row r="36" spans="1:8" ht="24.95" customHeight="1">
      <c r="H36" s="69" t="e">
        <f>datos3!D11</f>
        <v>#DIV/0!</v>
      </c>
    </row>
    <row r="37" spans="1:8" ht="24.95" customHeight="1">
      <c r="H37" s="69" t="e">
        <f>datos3!D12</f>
        <v>#DIV/0!</v>
      </c>
    </row>
    <row r="38" spans="1:8" ht="24.95" customHeight="1">
      <c r="H38" s="69" t="e">
        <f>datos3!D13</f>
        <v>#DIV/0!</v>
      </c>
    </row>
    <row r="39" spans="1:8" ht="24.95" customHeight="1">
      <c r="H39" s="69" t="e">
        <f>datos3!D14</f>
        <v>#DIV/0!</v>
      </c>
    </row>
    <row r="40" spans="1:8" ht="24.95" customHeight="1">
      <c r="H40" s="69" t="e">
        <f>datos3!D15</f>
        <v>#DIV/0!</v>
      </c>
    </row>
    <row r="41" spans="1:8" ht="20.100000000000001" customHeight="1">
      <c r="A41" s="102"/>
      <c r="B41" s="106"/>
      <c r="C41" s="106"/>
      <c r="D41" s="106"/>
      <c r="E41" s="106"/>
      <c r="F41" s="106"/>
      <c r="G41" s="106"/>
    </row>
    <row r="42" spans="1:8">
      <c r="F42" s="195" t="s">
        <v>37</v>
      </c>
      <c r="G42" s="196" t="s">
        <v>50</v>
      </c>
      <c r="H42" s="97"/>
    </row>
    <row r="43" spans="1:8">
      <c r="F43" s="195" t="s">
        <v>45</v>
      </c>
      <c r="G43" s="196" t="s">
        <v>51</v>
      </c>
      <c r="H43" s="98"/>
    </row>
    <row r="44" spans="1:8">
      <c r="F44" s="195" t="s">
        <v>39</v>
      </c>
      <c r="G44" s="196" t="s">
        <v>52</v>
      </c>
      <c r="H44" s="99"/>
    </row>
    <row r="45" spans="1:8">
      <c r="F45" s="195" t="s">
        <v>40</v>
      </c>
      <c r="G45" s="196" t="s">
        <v>53</v>
      </c>
      <c r="H45" s="100"/>
    </row>
  </sheetData>
  <phoneticPr fontId="7" type="noConversion"/>
  <printOptions horizontalCentered="1"/>
  <pageMargins left="0.78740157480314965" right="0.78740157480314965" top="0.78740157480314965" bottom="0.78740157480314965" header="0" footer="0"/>
  <pageSetup scale="82" orientation="portrait" verticalDpi="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pageSetUpPr fitToPage="1"/>
  </sheetPr>
  <dimension ref="A3:H45"/>
  <sheetViews>
    <sheetView showGridLines="0" zoomScaleNormal="100" workbookViewId="0">
      <selection activeCell="J20" sqref="J20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3" spans="1:8">
      <c r="A3" s="63"/>
    </row>
    <row r="4" spans="1:8" ht="12" customHeight="1">
      <c r="A4" s="63"/>
    </row>
    <row r="5" spans="1:8" ht="12" customHeight="1"/>
    <row r="7" spans="1:8" ht="24.95" customHeight="1">
      <c r="B7" s="66"/>
      <c r="H7" s="69" t="e">
        <f>datos3!F5</f>
        <v>#DIV/0!</v>
      </c>
    </row>
    <row r="8" spans="1:8" ht="24.95" customHeight="1">
      <c r="B8" s="66"/>
      <c r="H8" s="69" t="e">
        <f>datos3!F6</f>
        <v>#DIV/0!</v>
      </c>
    </row>
    <row r="9" spans="1:8" ht="24.95" customHeight="1">
      <c r="B9" s="66"/>
      <c r="H9" s="69" t="e">
        <f>datos3!F7</f>
        <v>#DIV/0!</v>
      </c>
    </row>
    <row r="10" spans="1:8" ht="24.95" customHeight="1">
      <c r="B10" s="66"/>
      <c r="H10" s="69" t="e">
        <f>datos3!F8</f>
        <v>#DIV/0!</v>
      </c>
    </row>
    <row r="11" spans="1:8" ht="24.95" customHeight="1">
      <c r="B11" s="66"/>
      <c r="H11" s="69" t="e">
        <f>datos3!F9</f>
        <v>#DIV/0!</v>
      </c>
    </row>
    <row r="12" spans="1:8" ht="24.95" customHeight="1">
      <c r="B12" s="66"/>
      <c r="H12" s="69" t="e">
        <f>datos3!F10</f>
        <v>#DIV/0!</v>
      </c>
    </row>
    <row r="13" spans="1:8" ht="24.95" customHeight="1">
      <c r="B13" s="66"/>
      <c r="H13" s="69" t="e">
        <f>datos3!F11</f>
        <v>#DIV/0!</v>
      </c>
    </row>
    <row r="14" spans="1:8" ht="24.95" customHeight="1">
      <c r="B14" s="66"/>
      <c r="H14" s="69" t="e">
        <f>datos3!F12</f>
        <v>#DIV/0!</v>
      </c>
    </row>
    <row r="15" spans="1:8" ht="24.95" customHeight="1">
      <c r="B15" s="66"/>
      <c r="H15" s="69" t="e">
        <f>datos3!F13</f>
        <v>#DIV/0!</v>
      </c>
    </row>
    <row r="16" spans="1:8" ht="24.95" customHeight="1">
      <c r="B16" s="66"/>
      <c r="H16" s="69" t="e">
        <f>datos3!F14</f>
        <v>#DIV/0!</v>
      </c>
    </row>
    <row r="17" spans="2:8" ht="24.95" customHeight="1">
      <c r="B17" s="66"/>
      <c r="H17" s="69" t="e">
        <f>datos3!F15</f>
        <v>#DIV/0!</v>
      </c>
    </row>
    <row r="18" spans="2:8">
      <c r="H18" s="68"/>
    </row>
    <row r="19" spans="2:8">
      <c r="F19" s="195" t="s">
        <v>37</v>
      </c>
      <c r="G19" s="196" t="s">
        <v>59</v>
      </c>
      <c r="H19" s="97"/>
    </row>
    <row r="20" spans="2:8" ht="13.5" customHeight="1">
      <c r="F20" s="195" t="s">
        <v>45</v>
      </c>
      <c r="G20" s="196" t="s">
        <v>60</v>
      </c>
      <c r="H20" s="98"/>
    </row>
    <row r="21" spans="2:8" ht="13.5" customHeight="1">
      <c r="F21" s="195" t="s">
        <v>39</v>
      </c>
      <c r="G21" s="196" t="s">
        <v>61</v>
      </c>
      <c r="H21" s="99"/>
    </row>
    <row r="22" spans="2:8" ht="13.5" customHeight="1">
      <c r="F22" s="195" t="s">
        <v>40</v>
      </c>
      <c r="G22" s="196" t="s">
        <v>62</v>
      </c>
      <c r="H22" s="100"/>
    </row>
    <row r="23" spans="2:8" ht="12" customHeight="1"/>
    <row r="24" spans="2:8" ht="12.75" customHeight="1"/>
    <row r="27" spans="2:8" ht="12" customHeight="1"/>
    <row r="30" spans="2:8" ht="24.95" customHeight="1">
      <c r="H30" s="69" t="e">
        <f>datos3!H5</f>
        <v>#DIV/0!</v>
      </c>
    </row>
    <row r="31" spans="2:8" ht="24.95" customHeight="1">
      <c r="H31" s="69" t="e">
        <f>datos3!H6</f>
        <v>#DIV/0!</v>
      </c>
    </row>
    <row r="32" spans="2:8" ht="24.95" customHeight="1">
      <c r="H32" s="69" t="e">
        <f>datos3!H7</f>
        <v>#DIV/0!</v>
      </c>
    </row>
    <row r="33" spans="1:8" ht="24.95" customHeight="1">
      <c r="H33" s="69" t="e">
        <f>datos3!H8</f>
        <v>#DIV/0!</v>
      </c>
    </row>
    <row r="34" spans="1:8" ht="24.95" customHeight="1">
      <c r="H34" s="69" t="e">
        <f>datos3!H9</f>
        <v>#DIV/0!</v>
      </c>
    </row>
    <row r="35" spans="1:8" ht="24.95" customHeight="1">
      <c r="H35" s="69" t="e">
        <f>datos3!H10</f>
        <v>#DIV/0!</v>
      </c>
    </row>
    <row r="36" spans="1:8" ht="24.95" customHeight="1">
      <c r="H36" s="69" t="e">
        <f>datos3!H11</f>
        <v>#DIV/0!</v>
      </c>
    </row>
    <row r="37" spans="1:8" ht="24.95" customHeight="1">
      <c r="H37" s="69" t="e">
        <f>datos3!H12</f>
        <v>#DIV/0!</v>
      </c>
    </row>
    <row r="38" spans="1:8" ht="24.95" customHeight="1">
      <c r="H38" s="69" t="e">
        <f>datos3!H13</f>
        <v>#DIV/0!</v>
      </c>
    </row>
    <row r="39" spans="1:8" ht="24.95" customHeight="1">
      <c r="H39" s="69" t="e">
        <f>datos3!H14</f>
        <v>#DIV/0!</v>
      </c>
    </row>
    <row r="40" spans="1:8" ht="24.95" customHeight="1">
      <c r="H40" s="69" t="e">
        <f>datos3!H15</f>
        <v>#DIV/0!</v>
      </c>
    </row>
    <row r="41" spans="1:8" ht="15.75">
      <c r="A41" s="102"/>
      <c r="B41" s="106"/>
      <c r="C41" s="106"/>
      <c r="D41" s="106"/>
      <c r="E41" s="106"/>
      <c r="F41" s="106"/>
      <c r="G41" s="106"/>
    </row>
    <row r="42" spans="1:8">
      <c r="F42" s="195" t="s">
        <v>37</v>
      </c>
      <c r="G42" s="196" t="s">
        <v>54</v>
      </c>
      <c r="H42" s="97"/>
    </row>
    <row r="43" spans="1:8">
      <c r="F43" s="195" t="s">
        <v>45</v>
      </c>
      <c r="G43" s="196" t="s">
        <v>55</v>
      </c>
      <c r="H43" s="98"/>
    </row>
    <row r="44" spans="1:8">
      <c r="F44" s="195" t="s">
        <v>39</v>
      </c>
      <c r="G44" s="196" t="s">
        <v>56</v>
      </c>
      <c r="H44" s="99"/>
    </row>
    <row r="45" spans="1:8">
      <c r="F45" s="195" t="s">
        <v>40</v>
      </c>
      <c r="G45" s="196" t="s">
        <v>46</v>
      </c>
      <c r="H45" s="100"/>
    </row>
  </sheetData>
  <phoneticPr fontId="7" type="noConversion"/>
  <printOptions horizontalCentered="1"/>
  <pageMargins left="0.78740157480314965" right="0.78740157480314965" top="0.78740157480314965" bottom="0.78740157480314965" header="0" footer="0"/>
  <pageSetup scale="82" orientation="portrait" verticalDpi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4:R25"/>
  <sheetViews>
    <sheetView showGridLines="0" topLeftCell="A4" zoomScaleNormal="100" workbookViewId="0">
      <selection activeCell="Q21" sqref="Q21"/>
    </sheetView>
  </sheetViews>
  <sheetFormatPr baseColWidth="10" defaultColWidth="11.42578125" defaultRowHeight="12.75"/>
  <cols>
    <col min="1" max="1" width="10" customWidth="1"/>
    <col min="2" max="3" width="9.7109375" customWidth="1"/>
    <col min="4" max="5" width="12.7109375" customWidth="1"/>
    <col min="6" max="6" width="11.42578125" customWidth="1"/>
    <col min="7" max="7" width="4.7109375" customWidth="1"/>
    <col min="9" max="9" width="9.140625" customWidth="1"/>
    <col min="10" max="10" width="0.42578125" hidden="1" customWidth="1"/>
    <col min="11" max="12" width="8.7109375" customWidth="1"/>
    <col min="13" max="13" width="1.28515625" customWidth="1"/>
    <col min="14" max="18" width="8.7109375" customWidth="1"/>
  </cols>
  <sheetData>
    <row r="4" spans="1:18">
      <c r="A4" s="157"/>
      <c r="B4" s="157"/>
      <c r="C4" s="157"/>
      <c r="D4" s="157"/>
      <c r="E4" s="157"/>
      <c r="F4" s="157"/>
      <c r="G4" s="164"/>
      <c r="H4" s="164"/>
      <c r="I4" s="164"/>
      <c r="J4" s="164"/>
      <c r="K4" s="164"/>
      <c r="L4" s="164"/>
      <c r="M4" s="164"/>
      <c r="N4" s="164"/>
      <c r="O4" s="164"/>
      <c r="P4" s="164"/>
      <c r="Q4" s="164"/>
      <c r="R4" s="164"/>
    </row>
    <row r="5" spans="1:18">
      <c r="A5" s="224"/>
      <c r="B5" s="224"/>
      <c r="C5" s="224"/>
      <c r="D5" s="224"/>
      <c r="E5" s="224"/>
      <c r="F5" s="224"/>
      <c r="G5" s="225"/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</row>
    <row r="6" spans="1:18">
      <c r="A6" s="157"/>
      <c r="B6" s="157"/>
      <c r="C6" s="157"/>
      <c r="D6" s="157"/>
      <c r="E6" s="157"/>
      <c r="F6" s="157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</row>
    <row r="7" spans="1:18">
      <c r="A7" s="157"/>
      <c r="B7" s="157"/>
      <c r="C7" s="157"/>
      <c r="D7" s="157"/>
      <c r="E7" s="157"/>
      <c r="F7" s="157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</row>
    <row r="8" spans="1:18">
      <c r="A8" s="157"/>
      <c r="B8" s="157"/>
      <c r="C8" s="157"/>
      <c r="D8" s="158"/>
      <c r="E8" s="158"/>
      <c r="F8" s="158"/>
      <c r="G8" s="165"/>
      <c r="H8" s="165"/>
      <c r="I8" s="164"/>
      <c r="J8" s="295"/>
      <c r="K8" s="164"/>
      <c r="L8" s="164"/>
      <c r="M8" s="164"/>
      <c r="N8" s="164"/>
      <c r="O8" s="164"/>
      <c r="P8" s="164"/>
      <c r="Q8" s="164"/>
      <c r="R8" s="164"/>
    </row>
    <row r="9" spans="1:18" ht="37.5" customHeight="1">
      <c r="A9" s="157"/>
      <c r="B9" s="157"/>
      <c r="C9" s="157"/>
      <c r="D9" s="157"/>
      <c r="E9" s="157"/>
      <c r="F9" s="157"/>
      <c r="G9" s="164"/>
      <c r="H9" s="164"/>
      <c r="I9" s="164"/>
      <c r="J9" s="295"/>
      <c r="K9" s="164"/>
      <c r="L9" s="164"/>
      <c r="M9" s="164"/>
      <c r="N9" s="296" t="s">
        <v>41</v>
      </c>
      <c r="O9" s="297"/>
      <c r="P9" s="221" t="str">
        <f>C10</f>
        <v>1er. Semestre 2013</v>
      </c>
      <c r="Q9" s="222" t="s">
        <v>42</v>
      </c>
      <c r="R9" s="223" t="str">
        <f>B10</f>
        <v>1er. Semestre 2012</v>
      </c>
    </row>
    <row r="10" spans="1:18" ht="34.5" customHeight="1">
      <c r="A10" s="159" t="str">
        <f>datos2!A6</f>
        <v>Jurisdicción Sanitaria</v>
      </c>
      <c r="B10" s="160" t="str">
        <f>datos2!C6</f>
        <v>1er. Semestre 2012</v>
      </c>
      <c r="C10" s="160" t="str">
        <f>datos2!D6</f>
        <v>1er. Semestre 2013</v>
      </c>
      <c r="D10" s="157"/>
      <c r="E10" s="157"/>
      <c r="F10" s="157"/>
      <c r="G10" s="164"/>
      <c r="H10" s="164"/>
      <c r="I10" s="164"/>
      <c r="J10" s="164"/>
      <c r="K10" s="166"/>
      <c r="L10" s="167"/>
      <c r="M10" s="167"/>
      <c r="N10" s="220">
        <v>1</v>
      </c>
      <c r="O10" s="220">
        <v>2</v>
      </c>
      <c r="P10" s="220">
        <v>3</v>
      </c>
      <c r="Q10" s="220">
        <v>4</v>
      </c>
      <c r="R10" s="220" t="s">
        <v>43</v>
      </c>
    </row>
    <row r="11" spans="1:18" ht="24.95" customHeight="1">
      <c r="A11" s="161" t="str">
        <f>datos2!A7</f>
        <v>Tuxtla</v>
      </c>
      <c r="B11" s="162" t="e">
        <f>datos2!C7</f>
        <v>#DIV/0!</v>
      </c>
      <c r="C11" s="162" t="e">
        <f>datos2!D7</f>
        <v>#DIV/0!</v>
      </c>
      <c r="D11" s="157"/>
      <c r="E11" s="157"/>
      <c r="F11" s="157"/>
      <c r="G11" s="164"/>
      <c r="H11" s="164"/>
      <c r="I11" s="164"/>
      <c r="J11" s="164"/>
      <c r="K11" s="168" t="str">
        <f t="shared" ref="K11:K21" si="0">A11</f>
        <v>Tuxtla</v>
      </c>
      <c r="L11" s="169" t="e">
        <f>datos2!E7</f>
        <v>#DIV/0!</v>
      </c>
      <c r="M11" s="167"/>
      <c r="N11" s="170" t="e">
        <f>datos2!J7</f>
        <v>#DIV/0!</v>
      </c>
      <c r="O11" s="170" t="e">
        <f>datos2!K7</f>
        <v>#DIV/0!</v>
      </c>
      <c r="P11" s="170" t="e">
        <f>datos2!L7</f>
        <v>#DIV/0!</v>
      </c>
      <c r="Q11" s="170" t="e">
        <f>datos2!M7</f>
        <v>#DIV/0!</v>
      </c>
      <c r="R11" s="170" t="e">
        <f>datos2!N7</f>
        <v>#DIV/0!</v>
      </c>
    </row>
    <row r="12" spans="1:18" ht="24.95" customHeight="1">
      <c r="A12" s="161" t="str">
        <f>datos2!A8</f>
        <v>San Cristóbal</v>
      </c>
      <c r="B12" s="162" t="e">
        <f>datos2!C8</f>
        <v>#DIV/0!</v>
      </c>
      <c r="C12" s="162" t="e">
        <f>datos2!D8</f>
        <v>#DIV/0!</v>
      </c>
      <c r="D12" s="157"/>
      <c r="E12" s="157"/>
      <c r="F12" s="157"/>
      <c r="G12" s="164"/>
      <c r="H12" s="164"/>
      <c r="I12" s="164"/>
      <c r="J12" s="164"/>
      <c r="K12" s="168" t="str">
        <f t="shared" si="0"/>
        <v>San Cristóbal</v>
      </c>
      <c r="L12" s="169" t="e">
        <f>datos2!E8</f>
        <v>#DIV/0!</v>
      </c>
      <c r="M12" s="167"/>
      <c r="N12" s="170" t="e">
        <f>datos2!J8</f>
        <v>#DIV/0!</v>
      </c>
      <c r="O12" s="170" t="e">
        <f>datos2!K8</f>
        <v>#DIV/0!</v>
      </c>
      <c r="P12" s="170" t="e">
        <f>datos2!L8</f>
        <v>#DIV/0!</v>
      </c>
      <c r="Q12" s="170" t="e">
        <f>datos2!M8</f>
        <v>#DIV/0!</v>
      </c>
      <c r="R12" s="170" t="e">
        <f>datos2!N8</f>
        <v>#DIV/0!</v>
      </c>
    </row>
    <row r="13" spans="1:18" ht="24.95" customHeight="1">
      <c r="A13" s="161" t="str">
        <f>datos2!A9</f>
        <v>Comitán</v>
      </c>
      <c r="B13" s="162" t="e">
        <f>datos2!C9</f>
        <v>#DIV/0!</v>
      </c>
      <c r="C13" s="162" t="e">
        <f>datos2!D9</f>
        <v>#DIV/0!</v>
      </c>
      <c r="D13" s="157"/>
      <c r="E13" s="157"/>
      <c r="F13" s="157"/>
      <c r="G13" s="164"/>
      <c r="H13" s="164"/>
      <c r="I13" s="164"/>
      <c r="J13" s="164"/>
      <c r="K13" s="168" t="str">
        <f t="shared" si="0"/>
        <v>Comitán</v>
      </c>
      <c r="L13" s="169" t="e">
        <f>datos2!E9</f>
        <v>#DIV/0!</v>
      </c>
      <c r="M13" s="167"/>
      <c r="N13" s="170" t="e">
        <f>datos2!J9</f>
        <v>#DIV/0!</v>
      </c>
      <c r="O13" s="170" t="e">
        <f>datos2!K9</f>
        <v>#DIV/0!</v>
      </c>
      <c r="P13" s="170" t="e">
        <f>datos2!L9</f>
        <v>#DIV/0!</v>
      </c>
      <c r="Q13" s="170" t="e">
        <f>datos2!M9</f>
        <v>#DIV/0!</v>
      </c>
      <c r="R13" s="170" t="e">
        <f>datos2!N9</f>
        <v>#DIV/0!</v>
      </c>
    </row>
    <row r="14" spans="1:18" ht="24.95" customHeight="1">
      <c r="A14" s="161" t="str">
        <f>datos2!A10</f>
        <v>Villaflores</v>
      </c>
      <c r="B14" s="162" t="e">
        <f>datos2!C10</f>
        <v>#DIV/0!</v>
      </c>
      <c r="C14" s="162" t="e">
        <f>datos2!D10</f>
        <v>#DIV/0!</v>
      </c>
      <c r="D14" s="157"/>
      <c r="E14" s="157"/>
      <c r="F14" s="157"/>
      <c r="G14" s="164"/>
      <c r="H14" s="164"/>
      <c r="I14" s="164"/>
      <c r="J14" s="164"/>
      <c r="K14" s="168" t="str">
        <f t="shared" si="0"/>
        <v>Villaflores</v>
      </c>
      <c r="L14" s="169" t="e">
        <f>datos2!E10</f>
        <v>#DIV/0!</v>
      </c>
      <c r="M14" s="167"/>
      <c r="N14" s="170" t="e">
        <f>datos2!J10</f>
        <v>#DIV/0!</v>
      </c>
      <c r="O14" s="170" t="e">
        <f>datos2!K10</f>
        <v>#DIV/0!</v>
      </c>
      <c r="P14" s="170" t="e">
        <f>datos2!L10</f>
        <v>#DIV/0!</v>
      </c>
      <c r="Q14" s="170" t="e">
        <f>datos2!M10</f>
        <v>#DIV/0!</v>
      </c>
      <c r="R14" s="170" t="e">
        <f>datos2!N10</f>
        <v>#DIV/0!</v>
      </c>
    </row>
    <row r="15" spans="1:18" ht="24.95" customHeight="1">
      <c r="A15" s="161" t="str">
        <f>datos2!A11</f>
        <v>Pichucalco</v>
      </c>
      <c r="B15" s="162" t="e">
        <f>datos2!C11</f>
        <v>#DIV/0!</v>
      </c>
      <c r="C15" s="162" t="e">
        <f>datos2!D11</f>
        <v>#DIV/0!</v>
      </c>
      <c r="D15" s="157"/>
      <c r="E15" s="157"/>
      <c r="F15" s="157"/>
      <c r="G15" s="164"/>
      <c r="H15" s="164"/>
      <c r="I15" s="164"/>
      <c r="J15" s="164"/>
      <c r="K15" s="168" t="str">
        <f t="shared" si="0"/>
        <v>Pichucalco</v>
      </c>
      <c r="L15" s="169" t="e">
        <f>datos2!E11</f>
        <v>#DIV/0!</v>
      </c>
      <c r="M15" s="167"/>
      <c r="N15" s="170" t="e">
        <f>datos2!J11</f>
        <v>#DIV/0!</v>
      </c>
      <c r="O15" s="170" t="e">
        <f>datos2!K11</f>
        <v>#DIV/0!</v>
      </c>
      <c r="P15" s="170" t="e">
        <f>datos2!L11</f>
        <v>#DIV/0!</v>
      </c>
      <c r="Q15" s="170" t="e">
        <f>datos2!M11</f>
        <v>#DIV/0!</v>
      </c>
      <c r="R15" s="170" t="e">
        <f>datos2!N11</f>
        <v>#DIV/0!</v>
      </c>
    </row>
    <row r="16" spans="1:18" ht="24.95" customHeight="1">
      <c r="A16" s="161" t="str">
        <f>datos2!A12</f>
        <v>Palenque</v>
      </c>
      <c r="B16" s="162" t="e">
        <f>datos2!C12</f>
        <v>#DIV/0!</v>
      </c>
      <c r="C16" s="162" t="e">
        <f>datos2!D12</f>
        <v>#DIV/0!</v>
      </c>
      <c r="D16" s="157"/>
      <c r="E16" s="157"/>
      <c r="F16" s="157"/>
      <c r="G16" s="164"/>
      <c r="H16" s="164"/>
      <c r="I16" s="164"/>
      <c r="J16" s="164"/>
      <c r="K16" s="168" t="str">
        <f t="shared" si="0"/>
        <v>Palenque</v>
      </c>
      <c r="L16" s="169" t="e">
        <f>datos2!E12</f>
        <v>#DIV/0!</v>
      </c>
      <c r="M16" s="167"/>
      <c r="N16" s="170" t="e">
        <f>datos2!J12</f>
        <v>#DIV/0!</v>
      </c>
      <c r="O16" s="170" t="e">
        <f>datos2!K12</f>
        <v>#DIV/0!</v>
      </c>
      <c r="P16" s="170" t="e">
        <f>datos2!L12</f>
        <v>#DIV/0!</v>
      </c>
      <c r="Q16" s="170" t="e">
        <f>datos2!M12</f>
        <v>#DIV/0!</v>
      </c>
      <c r="R16" s="170" t="e">
        <f>datos2!N12</f>
        <v>#DIV/0!</v>
      </c>
    </row>
    <row r="17" spans="1:18" ht="24.95" customHeight="1">
      <c r="A17" s="161" t="str">
        <f>datos2!A13</f>
        <v>Tapachula</v>
      </c>
      <c r="B17" s="162" t="e">
        <f>datos2!C13</f>
        <v>#DIV/0!</v>
      </c>
      <c r="C17" s="162" t="e">
        <f>datos2!D13</f>
        <v>#DIV/0!</v>
      </c>
      <c r="D17" s="157"/>
      <c r="E17" s="157"/>
      <c r="F17" s="157"/>
      <c r="G17" s="164"/>
      <c r="H17" s="164"/>
      <c r="I17" s="164"/>
      <c r="J17" s="164"/>
      <c r="K17" s="168" t="str">
        <f t="shared" si="0"/>
        <v>Tapachula</v>
      </c>
      <c r="L17" s="169" t="e">
        <f>datos2!E13</f>
        <v>#DIV/0!</v>
      </c>
      <c r="M17" s="167"/>
      <c r="N17" s="170" t="e">
        <f>datos2!J13</f>
        <v>#DIV/0!</v>
      </c>
      <c r="O17" s="170" t="e">
        <f>datos2!K13</f>
        <v>#DIV/0!</v>
      </c>
      <c r="P17" s="170" t="e">
        <f>datos2!L13</f>
        <v>#DIV/0!</v>
      </c>
      <c r="Q17" s="170" t="e">
        <f>datos2!M13</f>
        <v>#DIV/0!</v>
      </c>
      <c r="R17" s="170" t="e">
        <f>datos2!N13</f>
        <v>#DIV/0!</v>
      </c>
    </row>
    <row r="18" spans="1:18" ht="24.95" customHeight="1">
      <c r="A18" s="161" t="str">
        <f>datos2!A14</f>
        <v>Tonalá</v>
      </c>
      <c r="B18" s="162" t="e">
        <f>datos2!C14</f>
        <v>#DIV/0!</v>
      </c>
      <c r="C18" s="162" t="e">
        <f>datos2!D14</f>
        <v>#DIV/0!</v>
      </c>
      <c r="D18" s="157"/>
      <c r="E18" s="157"/>
      <c r="F18" s="157"/>
      <c r="G18" s="164"/>
      <c r="H18" s="164"/>
      <c r="I18" s="164"/>
      <c r="J18" s="164"/>
      <c r="K18" s="168" t="str">
        <f t="shared" si="0"/>
        <v>Tonalá</v>
      </c>
      <c r="L18" s="169" t="e">
        <f>datos2!E14</f>
        <v>#DIV/0!</v>
      </c>
      <c r="M18" s="167"/>
      <c r="N18" s="170" t="e">
        <f>datos2!J14</f>
        <v>#DIV/0!</v>
      </c>
      <c r="O18" s="170" t="e">
        <f>datos2!K14</f>
        <v>#DIV/0!</v>
      </c>
      <c r="P18" s="170" t="e">
        <f>datos2!L14</f>
        <v>#DIV/0!</v>
      </c>
      <c r="Q18" s="170" t="e">
        <f>datos2!M14</f>
        <v>#DIV/0!</v>
      </c>
      <c r="R18" s="170" t="e">
        <f>datos2!N14</f>
        <v>#DIV/0!</v>
      </c>
    </row>
    <row r="19" spans="1:18" ht="24.95" customHeight="1">
      <c r="A19" s="161" t="str">
        <f>datos2!A15</f>
        <v>Ocosingo</v>
      </c>
      <c r="B19" s="162" t="e">
        <f>datos2!C15</f>
        <v>#DIV/0!</v>
      </c>
      <c r="C19" s="162" t="e">
        <f>datos2!D15</f>
        <v>#DIV/0!</v>
      </c>
      <c r="D19" s="157"/>
      <c r="E19" s="157"/>
      <c r="F19" s="157"/>
      <c r="G19" s="164"/>
      <c r="H19" s="164"/>
      <c r="I19" s="164"/>
      <c r="J19" s="164"/>
      <c r="K19" s="168" t="str">
        <f t="shared" si="0"/>
        <v>Ocosingo</v>
      </c>
      <c r="L19" s="169" t="e">
        <f>datos2!E15</f>
        <v>#DIV/0!</v>
      </c>
      <c r="M19" s="167"/>
      <c r="N19" s="170" t="e">
        <f>datos2!J15</f>
        <v>#DIV/0!</v>
      </c>
      <c r="O19" s="170" t="e">
        <f>datos2!K15</f>
        <v>#DIV/0!</v>
      </c>
      <c r="P19" s="170" t="e">
        <f>datos2!L15</f>
        <v>#DIV/0!</v>
      </c>
      <c r="Q19" s="170" t="e">
        <f>datos2!M15</f>
        <v>#DIV/0!</v>
      </c>
      <c r="R19" s="170" t="e">
        <f>datos2!N15</f>
        <v>#DIV/0!</v>
      </c>
    </row>
    <row r="20" spans="1:18" ht="24.95" customHeight="1">
      <c r="A20" s="161" t="str">
        <f>datos2!A16</f>
        <v>Motozintla</v>
      </c>
      <c r="B20" s="162" t="e">
        <f>datos2!C16</f>
        <v>#DIV/0!</v>
      </c>
      <c r="C20" s="162" t="e">
        <f>datos2!D16</f>
        <v>#DIV/0!</v>
      </c>
      <c r="D20" s="157"/>
      <c r="E20" s="157"/>
      <c r="F20" s="157"/>
      <c r="G20" s="164"/>
      <c r="H20" s="164"/>
      <c r="I20" s="164"/>
      <c r="J20" s="164"/>
      <c r="K20" s="168" t="str">
        <f t="shared" si="0"/>
        <v>Motozintla</v>
      </c>
      <c r="L20" s="169" t="e">
        <f>datos2!E16</f>
        <v>#DIV/0!</v>
      </c>
      <c r="M20" s="167"/>
      <c r="N20" s="170" t="e">
        <f>datos2!J16</f>
        <v>#DIV/0!</v>
      </c>
      <c r="O20" s="170" t="e">
        <f>datos2!K16</f>
        <v>#DIV/0!</v>
      </c>
      <c r="P20" s="170" t="e">
        <f>datos2!L16</f>
        <v>#DIV/0!</v>
      </c>
      <c r="Q20" s="170" t="e">
        <f>datos2!M16</f>
        <v>#DIV/0!</v>
      </c>
      <c r="R20" s="170" t="e">
        <f>datos2!N16</f>
        <v>#DIV/0!</v>
      </c>
    </row>
    <row r="21" spans="1:18" ht="24.95" customHeight="1">
      <c r="A21" s="163" t="str">
        <f>datos2!A17</f>
        <v>Estatal</v>
      </c>
      <c r="B21" s="162" t="e">
        <f>datos2!C17</f>
        <v>#DIV/0!</v>
      </c>
      <c r="C21" s="162" t="e">
        <f>datos2!D17</f>
        <v>#DIV/0!</v>
      </c>
      <c r="D21" s="157"/>
      <c r="E21" s="157"/>
      <c r="F21" s="157"/>
      <c r="G21" s="164"/>
      <c r="H21" s="164"/>
      <c r="I21" s="164"/>
      <c r="J21" s="164"/>
      <c r="K21" s="171" t="str">
        <f t="shared" si="0"/>
        <v>Estatal</v>
      </c>
      <c r="L21" s="169" t="e">
        <f>datos2!E17</f>
        <v>#DIV/0!</v>
      </c>
      <c r="M21" s="172"/>
      <c r="N21" s="173" t="e">
        <f>datos2!J17</f>
        <v>#DIV/0!</v>
      </c>
      <c r="O21" s="173" t="e">
        <f>datos2!K17</f>
        <v>#DIV/0!</v>
      </c>
      <c r="P21" s="173" t="e">
        <f>datos2!L17</f>
        <v>#DIV/0!</v>
      </c>
      <c r="Q21" s="173" t="e">
        <f>datos2!M17</f>
        <v>#DIV/0!</v>
      </c>
      <c r="R21" s="173" t="e">
        <f>datos2!N17</f>
        <v>#DIV/0!</v>
      </c>
    </row>
    <row r="22" spans="1:18" ht="12.75" customHeight="1">
      <c r="A22" s="157"/>
      <c r="B22" s="157"/>
      <c r="C22" s="157"/>
      <c r="D22" s="157"/>
      <c r="E22" s="157"/>
      <c r="F22" s="157"/>
      <c r="G22" s="164"/>
      <c r="H22" s="164"/>
      <c r="I22" s="164"/>
      <c r="J22" s="164"/>
      <c r="K22" s="164"/>
      <c r="L22" s="164"/>
      <c r="M22" s="164"/>
      <c r="N22" s="174"/>
      <c r="O22" s="175"/>
      <c r="P22" s="175"/>
      <c r="Q22" s="175"/>
      <c r="R22" s="175"/>
    </row>
    <row r="23" spans="1:18">
      <c r="A23" s="157"/>
      <c r="B23" s="157"/>
      <c r="C23" s="157"/>
      <c r="D23" s="157"/>
      <c r="E23" s="157"/>
      <c r="F23" s="157"/>
      <c r="G23" s="176" t="s">
        <v>76</v>
      </c>
      <c r="H23" s="176"/>
      <c r="I23" s="177" t="s">
        <v>69</v>
      </c>
      <c r="J23" s="177"/>
      <c r="K23" s="177"/>
      <c r="L23" s="177"/>
      <c r="M23" s="177"/>
      <c r="N23" s="177"/>
      <c r="O23" s="293" t="s">
        <v>83</v>
      </c>
      <c r="P23" s="294"/>
      <c r="Q23" s="294"/>
      <c r="R23" s="294"/>
    </row>
    <row r="24" spans="1:18">
      <c r="A24" s="157"/>
      <c r="B24" s="157"/>
      <c r="C24" s="157"/>
      <c r="D24" s="157"/>
      <c r="E24" s="157"/>
      <c r="F24" s="157"/>
      <c r="G24" s="178"/>
      <c r="H24" s="178"/>
      <c r="I24" s="179" t="s">
        <v>84</v>
      </c>
      <c r="J24" s="180"/>
      <c r="K24" s="180"/>
      <c r="L24" s="180"/>
      <c r="M24" s="180"/>
      <c r="N24" s="177"/>
      <c r="O24" s="293" t="s">
        <v>85</v>
      </c>
      <c r="P24" s="294"/>
      <c r="Q24" s="294"/>
      <c r="R24" s="294"/>
    </row>
    <row r="25" spans="1:18">
      <c r="A25" s="157"/>
      <c r="B25" s="157"/>
      <c r="C25" s="157"/>
      <c r="D25" s="157"/>
      <c r="E25" s="157"/>
      <c r="F25" s="157"/>
      <c r="G25" s="181"/>
      <c r="H25" s="182"/>
      <c r="I25" s="183"/>
      <c r="J25" s="183"/>
      <c r="K25" s="183"/>
      <c r="L25" s="183"/>
      <c r="M25" s="177"/>
      <c r="N25" s="177"/>
      <c r="O25" s="293"/>
      <c r="P25" s="294"/>
      <c r="Q25" s="294"/>
      <c r="R25" s="294"/>
    </row>
  </sheetData>
  <sheetProtection selectLockedCells="1"/>
  <mergeCells count="5">
    <mergeCell ref="O23:R23"/>
    <mergeCell ref="O24:R24"/>
    <mergeCell ref="O25:R25"/>
    <mergeCell ref="J8:J9"/>
    <mergeCell ref="N9:O9"/>
  </mergeCells>
  <phoneticPr fontId="7" type="noConversion"/>
  <printOptions horizontalCentered="1"/>
  <pageMargins left="0.78740157480314965" right="0.78740157480314965" top="0.78740157480314965" bottom="0.78740157480314965" header="0" footer="0"/>
  <pageSetup scale="79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pageSetUpPr fitToPage="1"/>
  </sheetPr>
  <dimension ref="A1:H43"/>
  <sheetViews>
    <sheetView showGridLines="0" zoomScaleNormal="100" workbookViewId="0">
      <selection activeCell="L37" sqref="L37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1" spans="1:8" ht="18">
      <c r="A1" s="298" t="s">
        <v>44</v>
      </c>
      <c r="B1" s="298"/>
      <c r="C1" s="298"/>
      <c r="D1" s="298"/>
      <c r="E1" s="298"/>
      <c r="F1" s="298"/>
      <c r="G1" s="298"/>
      <c r="H1" s="298"/>
    </row>
    <row r="7" spans="1:8">
      <c r="A7" s="63"/>
    </row>
    <row r="8" spans="1:8" ht="12" customHeight="1">
      <c r="A8" s="63"/>
    </row>
    <row r="9" spans="1:8" ht="12" customHeight="1"/>
    <row r="11" spans="1:8" ht="24.95" customHeight="1">
      <c r="A11" s="70" t="str">
        <f>datos2!A7</f>
        <v>Tuxtla</v>
      </c>
      <c r="B11" s="66"/>
      <c r="H11" s="71" t="e">
        <f>datos2!K7</f>
        <v>#DIV/0!</v>
      </c>
    </row>
    <row r="12" spans="1:8" ht="24.95" customHeight="1">
      <c r="A12" s="70" t="str">
        <f>datos2!A8</f>
        <v>San Cristóbal</v>
      </c>
      <c r="B12" s="66"/>
      <c r="H12" s="71" t="e">
        <f>datos2!K8</f>
        <v>#DIV/0!</v>
      </c>
    </row>
    <row r="13" spans="1:8" ht="24.95" customHeight="1">
      <c r="A13" s="70" t="str">
        <f>datos2!A9</f>
        <v>Comitán</v>
      </c>
      <c r="B13" s="66"/>
      <c r="H13" s="71" t="e">
        <f>datos2!K9</f>
        <v>#DIV/0!</v>
      </c>
    </row>
    <row r="14" spans="1:8" ht="24.95" customHeight="1">
      <c r="A14" s="70" t="str">
        <f>datos2!A10</f>
        <v>Villaflores</v>
      </c>
      <c r="B14" s="66"/>
      <c r="H14" s="71" t="e">
        <f>datos2!K10</f>
        <v>#DIV/0!</v>
      </c>
    </row>
    <row r="15" spans="1:8" ht="24.95" customHeight="1">
      <c r="A15" s="70" t="str">
        <f>datos2!A11</f>
        <v>Pichucalco</v>
      </c>
      <c r="B15" s="66"/>
      <c r="H15" s="71" t="e">
        <f>datos2!K11</f>
        <v>#DIV/0!</v>
      </c>
    </row>
    <row r="16" spans="1:8" ht="24.95" customHeight="1">
      <c r="A16" s="70" t="str">
        <f>datos2!A12</f>
        <v>Palenque</v>
      </c>
      <c r="B16" s="66"/>
      <c r="H16" s="71" t="e">
        <f>datos2!K12</f>
        <v>#DIV/0!</v>
      </c>
    </row>
    <row r="17" spans="1:8" ht="24.95" customHeight="1">
      <c r="A17" s="70" t="str">
        <f>datos2!A13</f>
        <v>Tapachula</v>
      </c>
      <c r="B17" s="66"/>
      <c r="H17" s="71" t="e">
        <f>datos2!K13</f>
        <v>#DIV/0!</v>
      </c>
    </row>
    <row r="18" spans="1:8" ht="24.95" customHeight="1">
      <c r="A18" s="70" t="str">
        <f>datos2!A14</f>
        <v>Tonalá</v>
      </c>
      <c r="B18" s="66"/>
      <c r="H18" s="71" t="e">
        <f>datos2!K14</f>
        <v>#DIV/0!</v>
      </c>
    </row>
    <row r="19" spans="1:8" ht="24.95" customHeight="1">
      <c r="A19" s="70" t="str">
        <f>datos2!A15</f>
        <v>Ocosingo</v>
      </c>
      <c r="B19" s="66"/>
      <c r="H19" s="71" t="e">
        <f>datos2!K15</f>
        <v>#DIV/0!</v>
      </c>
    </row>
    <row r="20" spans="1:8" ht="24.95" customHeight="1">
      <c r="A20" s="70" t="str">
        <f>datos2!A16</f>
        <v>Motozintla</v>
      </c>
      <c r="B20" s="66"/>
      <c r="H20" s="71" t="e">
        <f>datos2!K16</f>
        <v>#DIV/0!</v>
      </c>
    </row>
    <row r="21" spans="1:8" ht="24.95" customHeight="1">
      <c r="A21" s="70" t="str">
        <f>datos2!A17</f>
        <v>Estatal</v>
      </c>
      <c r="B21" s="66"/>
      <c r="H21" s="71" t="e">
        <f>datos2!K17</f>
        <v>#DIV/0!</v>
      </c>
    </row>
    <row r="22" spans="1:8">
      <c r="H22" s="68"/>
    </row>
    <row r="23" spans="1:8">
      <c r="H23" s="68"/>
    </row>
    <row r="24" spans="1:8" ht="13.5" customHeight="1"/>
    <row r="25" spans="1:8" ht="12" customHeight="1"/>
    <row r="26" spans="1:8" ht="12.75" customHeight="1"/>
    <row r="29" spans="1:8" ht="12" customHeight="1"/>
    <row r="30" spans="1:8" ht="12" customHeight="1"/>
    <row r="31" spans="1:8" ht="13.5" customHeight="1"/>
    <row r="32" spans="1:8" ht="24.95" customHeight="1">
      <c r="A32" s="72" t="str">
        <f>datos2!A7</f>
        <v>Tuxtla</v>
      </c>
      <c r="H32" s="71" t="e">
        <f>datos2!L7</f>
        <v>#DIV/0!</v>
      </c>
    </row>
    <row r="33" spans="1:8" ht="24.95" customHeight="1">
      <c r="A33" s="72" t="str">
        <f>datos2!A8</f>
        <v>San Cristóbal</v>
      </c>
      <c r="H33" s="71" t="e">
        <f>datos2!L8</f>
        <v>#DIV/0!</v>
      </c>
    </row>
    <row r="34" spans="1:8" ht="24.95" customHeight="1">
      <c r="A34" s="72" t="str">
        <f>datos2!A9</f>
        <v>Comitán</v>
      </c>
      <c r="H34" s="71" t="e">
        <f>datos2!L9</f>
        <v>#DIV/0!</v>
      </c>
    </row>
    <row r="35" spans="1:8" ht="24.95" customHeight="1">
      <c r="A35" s="72" t="str">
        <f>datos2!A10</f>
        <v>Villaflores</v>
      </c>
      <c r="H35" s="71" t="e">
        <f>datos2!L10</f>
        <v>#DIV/0!</v>
      </c>
    </row>
    <row r="36" spans="1:8" ht="24.95" customHeight="1">
      <c r="A36" s="72" t="str">
        <f>datos2!A11</f>
        <v>Pichucalco</v>
      </c>
      <c r="H36" s="71" t="e">
        <f>datos2!L11</f>
        <v>#DIV/0!</v>
      </c>
    </row>
    <row r="37" spans="1:8" ht="24.95" customHeight="1">
      <c r="A37" s="72" t="str">
        <f>datos2!A12</f>
        <v>Palenque</v>
      </c>
      <c r="H37" s="71" t="e">
        <f>datos2!L12</f>
        <v>#DIV/0!</v>
      </c>
    </row>
    <row r="38" spans="1:8" ht="24.95" customHeight="1">
      <c r="A38" s="72" t="str">
        <f>datos2!A13</f>
        <v>Tapachula</v>
      </c>
      <c r="H38" s="71" t="e">
        <f>datos2!L13</f>
        <v>#DIV/0!</v>
      </c>
    </row>
    <row r="39" spans="1:8" ht="24.95" customHeight="1">
      <c r="A39" s="72" t="str">
        <f>datos2!A14</f>
        <v>Tonalá</v>
      </c>
      <c r="H39" s="71" t="e">
        <f>datos2!L14</f>
        <v>#DIV/0!</v>
      </c>
    </row>
    <row r="40" spans="1:8" ht="24.95" customHeight="1">
      <c r="A40" s="72" t="str">
        <f>datos2!A15</f>
        <v>Ocosingo</v>
      </c>
      <c r="H40" s="71" t="e">
        <f>datos2!L15</f>
        <v>#DIV/0!</v>
      </c>
    </row>
    <row r="41" spans="1:8" ht="24.95" customHeight="1">
      <c r="A41" s="72" t="str">
        <f>datos2!A16</f>
        <v>Motozintla</v>
      </c>
      <c r="B41" s="106"/>
      <c r="C41" s="106"/>
      <c r="D41" s="106"/>
      <c r="E41" s="106"/>
      <c r="F41" s="106"/>
      <c r="G41" s="106"/>
      <c r="H41" s="71" t="e">
        <f>datos2!L16</f>
        <v>#DIV/0!</v>
      </c>
    </row>
    <row r="42" spans="1:8" ht="24.95" customHeight="1">
      <c r="A42" s="72" t="str">
        <f>datos2!A17</f>
        <v>Estatal</v>
      </c>
      <c r="H42" s="71" t="e">
        <f>datos2!L17</f>
        <v>#DIV/0!</v>
      </c>
    </row>
    <row r="43" spans="1:8" ht="20.100000000000001" customHeight="1"/>
  </sheetData>
  <mergeCells count="1">
    <mergeCell ref="A1:H1"/>
  </mergeCells>
  <phoneticPr fontId="7" type="noConversion"/>
  <printOptions horizontalCentered="1"/>
  <pageMargins left="0.78740157480314965" right="0.78740157480314965" top="0.78740157480314965" bottom="0.78740157480314965" header="0" footer="0"/>
  <pageSetup scale="84" orientation="portrait" verticalDpi="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pageSetUpPr fitToPage="1"/>
  </sheetPr>
  <dimension ref="A1:H42"/>
  <sheetViews>
    <sheetView showGridLines="0" zoomScaleNormal="100" workbookViewId="0">
      <selection activeCell="H38" sqref="H38"/>
    </sheetView>
  </sheetViews>
  <sheetFormatPr baseColWidth="10" defaultRowHeight="12.75"/>
  <cols>
    <col min="1" max="1" width="10" customWidth="1"/>
    <col min="7" max="7" width="15.140625" customWidth="1"/>
    <col min="8" max="8" width="9.42578125" style="64" customWidth="1"/>
  </cols>
  <sheetData>
    <row r="1" spans="1:8" ht="18">
      <c r="A1" s="298" t="s">
        <v>44</v>
      </c>
      <c r="B1" s="298"/>
      <c r="C1" s="298"/>
      <c r="D1" s="298"/>
      <c r="E1" s="298"/>
      <c r="F1" s="298"/>
      <c r="G1" s="298"/>
      <c r="H1" s="298"/>
    </row>
    <row r="7" spans="1:8">
      <c r="A7" s="63"/>
    </row>
    <row r="8" spans="1:8" ht="12" customHeight="1">
      <c r="A8" s="63"/>
    </row>
    <row r="9" spans="1:8" ht="12" customHeight="1"/>
    <row r="11" spans="1:8" ht="24.95" customHeight="1">
      <c r="A11" s="70" t="str">
        <f>datos2!A7</f>
        <v>Tuxtla</v>
      </c>
      <c r="B11" s="66"/>
      <c r="H11" s="71" t="e">
        <f>datos2!M7</f>
        <v>#DIV/0!</v>
      </c>
    </row>
    <row r="12" spans="1:8" ht="24.95" customHeight="1">
      <c r="A12" s="70" t="str">
        <f>datos2!A8</f>
        <v>San Cristóbal</v>
      </c>
      <c r="B12" s="66"/>
      <c r="H12" s="71" t="e">
        <f>datos2!M8</f>
        <v>#DIV/0!</v>
      </c>
    </row>
    <row r="13" spans="1:8" ht="24.95" customHeight="1">
      <c r="A13" s="70" t="str">
        <f>datos2!A9</f>
        <v>Comitán</v>
      </c>
      <c r="B13" s="66"/>
      <c r="H13" s="71" t="e">
        <f>datos2!M9</f>
        <v>#DIV/0!</v>
      </c>
    </row>
    <row r="14" spans="1:8" ht="24.95" customHeight="1">
      <c r="A14" s="70" t="str">
        <f>datos2!A10</f>
        <v>Villaflores</v>
      </c>
      <c r="B14" s="66"/>
      <c r="H14" s="71" t="e">
        <f>datos2!M10</f>
        <v>#DIV/0!</v>
      </c>
    </row>
    <row r="15" spans="1:8" ht="24.95" customHeight="1">
      <c r="A15" s="70" t="str">
        <f>datos2!A11</f>
        <v>Pichucalco</v>
      </c>
      <c r="B15" s="66"/>
      <c r="H15" s="71" t="e">
        <f>datos2!M11</f>
        <v>#DIV/0!</v>
      </c>
    </row>
    <row r="16" spans="1:8" ht="24.95" customHeight="1">
      <c r="A16" s="70" t="str">
        <f>datos2!A12</f>
        <v>Palenque</v>
      </c>
      <c r="B16" s="66"/>
      <c r="H16" s="71" t="e">
        <f>datos2!M12</f>
        <v>#DIV/0!</v>
      </c>
    </row>
    <row r="17" spans="1:8" ht="24.95" customHeight="1">
      <c r="A17" s="70" t="str">
        <f>datos2!A13</f>
        <v>Tapachula</v>
      </c>
      <c r="B17" s="66"/>
      <c r="H17" s="71" t="e">
        <f>datos2!M13</f>
        <v>#DIV/0!</v>
      </c>
    </row>
    <row r="18" spans="1:8" ht="24.95" customHeight="1">
      <c r="A18" s="70" t="str">
        <f>datos2!A14</f>
        <v>Tonalá</v>
      </c>
      <c r="B18" s="66"/>
      <c r="H18" s="71" t="e">
        <f>datos2!M14</f>
        <v>#DIV/0!</v>
      </c>
    </row>
    <row r="19" spans="1:8" ht="24.95" customHeight="1">
      <c r="A19" s="70" t="str">
        <f>datos2!A15</f>
        <v>Ocosingo</v>
      </c>
      <c r="B19" s="66"/>
      <c r="H19" s="71" t="e">
        <f>datos2!M15</f>
        <v>#DIV/0!</v>
      </c>
    </row>
    <row r="20" spans="1:8" ht="24.95" customHeight="1">
      <c r="A20" s="70" t="str">
        <f>datos2!A16</f>
        <v>Motozintla</v>
      </c>
      <c r="B20" s="66"/>
      <c r="H20" s="71" t="e">
        <f>datos2!M16</f>
        <v>#DIV/0!</v>
      </c>
    </row>
    <row r="21" spans="1:8" ht="24.95" customHeight="1">
      <c r="A21" s="70" t="str">
        <f>datos2!A17</f>
        <v>Estatal</v>
      </c>
      <c r="B21" s="66"/>
      <c r="H21" s="71" t="e">
        <f>datos2!M17</f>
        <v>#DIV/0!</v>
      </c>
    </row>
    <row r="22" spans="1:8">
      <c r="H22" s="68"/>
    </row>
    <row r="23" spans="1:8">
      <c r="H23" s="68"/>
    </row>
    <row r="24" spans="1:8" ht="13.5" customHeight="1"/>
    <row r="25" spans="1:8" ht="12" customHeight="1"/>
    <row r="26" spans="1:8" ht="12.75" customHeight="1"/>
    <row r="29" spans="1:8" ht="12" customHeight="1"/>
    <row r="30" spans="1:8" ht="12" customHeight="1"/>
    <row r="31" spans="1:8" ht="13.5" customHeight="1"/>
    <row r="32" spans="1:8" ht="24.95" customHeight="1">
      <c r="A32" s="70" t="str">
        <f>datos2!A7</f>
        <v>Tuxtla</v>
      </c>
      <c r="H32" s="71" t="e">
        <f>datos2!N7</f>
        <v>#DIV/0!</v>
      </c>
    </row>
    <row r="33" spans="1:8" ht="24.95" customHeight="1">
      <c r="A33" s="70" t="str">
        <f>datos2!A8</f>
        <v>San Cristóbal</v>
      </c>
      <c r="H33" s="71" t="e">
        <f>datos2!N8</f>
        <v>#DIV/0!</v>
      </c>
    </row>
    <row r="34" spans="1:8" ht="24.95" customHeight="1">
      <c r="A34" s="70" t="str">
        <f>datos2!A9</f>
        <v>Comitán</v>
      </c>
      <c r="H34" s="71" t="e">
        <f>datos2!N9</f>
        <v>#DIV/0!</v>
      </c>
    </row>
    <row r="35" spans="1:8" ht="24.95" customHeight="1">
      <c r="A35" s="70" t="str">
        <f>datos2!A10</f>
        <v>Villaflores</v>
      </c>
      <c r="H35" s="71" t="e">
        <f>datos2!N10</f>
        <v>#DIV/0!</v>
      </c>
    </row>
    <row r="36" spans="1:8" ht="24.95" customHeight="1">
      <c r="A36" s="70" t="str">
        <f>datos2!A11</f>
        <v>Pichucalco</v>
      </c>
      <c r="H36" s="71" t="e">
        <f>datos2!N11</f>
        <v>#DIV/0!</v>
      </c>
    </row>
    <row r="37" spans="1:8" ht="24.95" customHeight="1">
      <c r="A37" s="70" t="str">
        <f>datos2!A12</f>
        <v>Palenque</v>
      </c>
      <c r="H37" s="71" t="e">
        <f>datos2!N12</f>
        <v>#DIV/0!</v>
      </c>
    </row>
    <row r="38" spans="1:8" ht="24.95" customHeight="1">
      <c r="A38" s="70" t="str">
        <f>datos2!A13</f>
        <v>Tapachula</v>
      </c>
      <c r="H38" s="71" t="e">
        <f>datos2!N13</f>
        <v>#DIV/0!</v>
      </c>
    </row>
    <row r="39" spans="1:8" ht="24.95" customHeight="1">
      <c r="A39" s="70" t="str">
        <f>datos2!A14</f>
        <v>Tonalá</v>
      </c>
      <c r="H39" s="71" t="e">
        <f>datos2!N14</f>
        <v>#DIV/0!</v>
      </c>
    </row>
    <row r="40" spans="1:8" ht="24.95" customHeight="1">
      <c r="A40" s="70" t="str">
        <f>datos2!A15</f>
        <v>Ocosingo</v>
      </c>
      <c r="H40" s="71" t="e">
        <f>datos2!N15</f>
        <v>#DIV/0!</v>
      </c>
    </row>
    <row r="41" spans="1:8" ht="24.95" customHeight="1">
      <c r="A41" s="70" t="str">
        <f>datos2!A16</f>
        <v>Motozintla</v>
      </c>
      <c r="B41" s="106"/>
      <c r="C41" s="106"/>
      <c r="D41" s="106"/>
      <c r="E41" s="106"/>
      <c r="F41" s="106"/>
      <c r="G41" s="106"/>
      <c r="H41" s="71" t="e">
        <f>datos2!N16</f>
        <v>#DIV/0!</v>
      </c>
    </row>
    <row r="42" spans="1:8" ht="24.95" customHeight="1">
      <c r="A42" s="70" t="str">
        <f>datos2!A17</f>
        <v>Estatal</v>
      </c>
      <c r="H42" s="71" t="e">
        <f>datos2!N17</f>
        <v>#DIV/0!</v>
      </c>
    </row>
  </sheetData>
  <mergeCells count="1">
    <mergeCell ref="A1:H1"/>
  </mergeCells>
  <phoneticPr fontId="7" type="noConversion"/>
  <printOptions horizontalCentered="1"/>
  <pageMargins left="0.78740157480314965" right="0.78740157480314965" top="0.78740157480314965" bottom="0.78740157480314965" header="0" footer="0"/>
  <pageSetup scale="85" orientation="portrait" verticalDpi="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7:G46"/>
  <sheetViews>
    <sheetView showGridLines="0" zoomScaleNormal="100" workbookViewId="0">
      <selection activeCell="L28" sqref="L28"/>
    </sheetView>
  </sheetViews>
  <sheetFormatPr baseColWidth="10" defaultRowHeight="12.75"/>
  <sheetData>
    <row r="7" spans="1:7" ht="15.75">
      <c r="B7" s="102" t="s">
        <v>57</v>
      </c>
    </row>
    <row r="8" spans="1:7">
      <c r="A8" t="s">
        <v>58</v>
      </c>
    </row>
    <row r="9" spans="1:7">
      <c r="B9" s="300"/>
      <c r="C9" s="300"/>
      <c r="D9" s="300"/>
      <c r="E9" s="300"/>
      <c r="F9" s="300"/>
      <c r="G9" s="300"/>
    </row>
    <row r="12" spans="1:7">
      <c r="B12" s="62"/>
    </row>
    <row r="27" spans="1:7">
      <c r="A27" s="101"/>
      <c r="B27" s="101"/>
      <c r="C27" s="101"/>
      <c r="D27" s="101"/>
      <c r="E27" s="300"/>
      <c r="F27" s="300"/>
      <c r="G27" s="300"/>
    </row>
    <row r="31" spans="1:7" ht="15.75">
      <c r="C31" s="302" t="s">
        <v>33</v>
      </c>
      <c r="D31" s="302"/>
      <c r="E31" s="302"/>
    </row>
    <row r="32" spans="1:7">
      <c r="C32" s="303"/>
      <c r="D32" s="303"/>
      <c r="E32" s="303"/>
    </row>
    <row r="33" spans="1:7">
      <c r="C33" s="216" t="s">
        <v>92</v>
      </c>
      <c r="D33" s="216"/>
      <c r="E33" s="216"/>
    </row>
    <row r="34" spans="1:7">
      <c r="C34" s="215" t="s">
        <v>88</v>
      </c>
      <c r="D34" s="215"/>
      <c r="E34" s="215"/>
    </row>
    <row r="35" spans="1:7">
      <c r="C35" s="214" t="s">
        <v>89</v>
      </c>
      <c r="D35" s="214"/>
      <c r="E35" s="214"/>
    </row>
    <row r="36" spans="1:7">
      <c r="C36" s="214" t="s">
        <v>90</v>
      </c>
      <c r="D36" s="214"/>
      <c r="E36" s="214"/>
    </row>
    <row r="37" spans="1:7">
      <c r="C37" s="214" t="s">
        <v>91</v>
      </c>
      <c r="D37" s="214"/>
      <c r="E37" s="214"/>
    </row>
    <row r="39" spans="1:7" ht="20.25">
      <c r="A39" s="301" t="s">
        <v>86</v>
      </c>
      <c r="B39" s="301"/>
      <c r="C39" s="301"/>
      <c r="D39" s="301"/>
      <c r="E39" s="301"/>
      <c r="F39" s="301"/>
      <c r="G39" s="301"/>
    </row>
    <row r="40" spans="1:7" ht="15.75">
      <c r="A40" s="299" t="s">
        <v>87</v>
      </c>
      <c r="B40" s="299"/>
      <c r="C40" s="299"/>
      <c r="D40" s="299"/>
      <c r="E40" s="299"/>
      <c r="F40" s="299"/>
      <c r="G40" s="299"/>
    </row>
    <row r="41" spans="1:7" ht="10.5" customHeight="1"/>
    <row r="46" spans="1:7" ht="8.25" customHeight="1"/>
  </sheetData>
  <mergeCells count="6">
    <mergeCell ref="A40:G40"/>
    <mergeCell ref="E27:G27"/>
    <mergeCell ref="B9:G9"/>
    <mergeCell ref="A39:G39"/>
    <mergeCell ref="C31:E31"/>
    <mergeCell ref="C32:E32"/>
  </mergeCells>
  <phoneticPr fontId="7" type="noConversion"/>
  <pageMargins left="0.78740157480314965" right="0.78740157480314965" top="0.98425196850393704" bottom="0.98425196850393704" header="0" footer="0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3</vt:i4>
      </vt:variant>
    </vt:vector>
  </HeadingPairs>
  <TitlesOfParts>
    <vt:vector size="17" baseType="lpstr">
      <vt:lpstr>CAPTURA</vt:lpstr>
      <vt:lpstr>CONCENTRADO</vt:lpstr>
      <vt:lpstr>LEPRA</vt:lpstr>
      <vt:lpstr>datos1</vt:lpstr>
      <vt:lpstr>datos2</vt:lpstr>
      <vt:lpstr>datos3</vt:lpstr>
      <vt:lpstr>Portada</vt:lpstr>
      <vt:lpstr>Global</vt:lpstr>
      <vt:lpstr>Desglo2</vt:lpstr>
      <vt:lpstr>Desglo3</vt:lpstr>
      <vt:lpstr>Comparativo</vt:lpstr>
      <vt:lpstr>Vel2</vt:lpstr>
      <vt:lpstr>Vel3</vt:lpstr>
      <vt:lpstr>Contra</vt:lpstr>
      <vt:lpstr>Comparativo!Área_de_impresión</vt:lpstr>
      <vt:lpstr>LEPRA!Área_de_impresión</vt:lpstr>
      <vt:lpstr>Portada!Área_de_impresión</vt:lpstr>
    </vt:vector>
  </TitlesOfParts>
  <Company>ISECH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Caminando a la Excelencia (CaCu)</dc:title>
  <dc:creator>Lic. Saúl E. Buenrostro Chávez</dc:creator>
  <cp:lastModifiedBy>WEB-MASTER</cp:lastModifiedBy>
  <cp:lastPrinted>2013-06-27T02:38:38Z</cp:lastPrinted>
  <dcterms:created xsi:type="dcterms:W3CDTF">2002-12-06T18:26:33Z</dcterms:created>
  <dcterms:modified xsi:type="dcterms:W3CDTF">2013-08-19T19:28:40Z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S Team System Data DO NOT EDIT_GUID">
    <vt:lpwstr>9f56c2fa-d0c9-4cf1-bed3-69d6ebbe3051</vt:lpwstr>
  </property>
</Properties>
</file>